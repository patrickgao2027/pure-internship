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 Stats" sheetId="2" state="visible" r:id="rId2"/>
    <sheet xmlns:r="http://schemas.openxmlformats.org/officeDocument/2006/relationships" name="All Cells" sheetId="3" state="visible" r:id="rId3"/>
    <sheet xmlns:r="http://schemas.openxmlformats.org/officeDocument/2006/relationships" name="Geometry" sheetId="4" state="visible" r:id="rId4"/>
    <sheet xmlns:r="http://schemas.openxmlformats.org/officeDocument/2006/relationships" name="Assignment uv_on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0.000"/>
    <numFmt numFmtId="167" formatCode="#,##0.0"/>
  </numFmts>
  <fonts count="10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  <font>
      <name val="Arial"/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0" borderId="0" pivotButton="0" quotePrefix="0" xfId="0"/>
    <xf numFmtId="0" fontId="9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2" pivotButton="0" quotePrefix="0" xfId="0"/>
    <xf numFmtId="166" fontId="6" fillId="0" borderId="2" pivotButton="0" quotePrefix="0" xfId="0"/>
    <xf numFmtId="167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118" customWidth="1" min="2" max="2"/>
  </cols>
  <sheetData>
    <row r="1">
      <c r="A1" s="2" t="inlineStr">
        <is>
          <t>HDBSCAN parameter sweep — results and caveats</t>
        </is>
      </c>
    </row>
    <row r="2">
      <c r="A2" s="3" t="inlineStr">
        <is>
          <t>HDBSCAN parameter sweep — results</t>
        </is>
      </c>
      <c r="B2" s="4" t="inlineStr"/>
    </row>
    <row r="3">
      <c r="A3" s="5" t="inlineStr"/>
      <c r="B3" s="4" t="inlineStr"/>
    </row>
    <row r="4">
      <c r="A4" s="5" t="inlineStr">
        <is>
          <t>Source</t>
        </is>
      </c>
      <c r="B4" s="4" t="inlineStr">
        <is>
          <t>miletus:~/pure-internship/umap_hdbscan_sweep/umap_tests/param_sweep</t>
        </is>
      </c>
    </row>
    <row r="5">
      <c r="A5" s="5" t="inlineStr">
        <is>
          <t>Cells</t>
        </is>
      </c>
      <c r="B5" s="4" t="inlineStr">
        <is>
          <t>28 parameter combinations</t>
        </is>
      </c>
    </row>
    <row r="6">
      <c r="A6" s="5" t="inlineStr">
        <is>
          <t>Cohort</t>
        </is>
      </c>
      <c r="B6" s="4" t="inlineStr">
        <is>
          <t>157,501,580 rows; UMAP 2-D coords; RBC labelling of the full cohort</t>
        </is>
      </c>
    </row>
    <row r="7">
      <c r="A7" s="5" t="inlineStr">
        <is>
          <t>Reference (main sweep)</t>
        </is>
      </c>
      <c r="B7" s="4" t="inlineStr">
        <is>
          <t>COSMIC v3.5, uv_only subset, GRCh38</t>
        </is>
      </c>
    </row>
    <row r="8">
      <c r="A8" s="5" t="inlineStr"/>
      <c r="B8" s="4" t="inlineStr"/>
    </row>
    <row r="9">
      <c r="A9" s="3" t="inlineStr">
        <is>
          <t>VERIFIED CORRECT</t>
        </is>
      </c>
      <c r="B9" s="4" t="inlineStr"/>
    </row>
    <row r="10">
      <c r="A10" s="5" t="inlineStr">
        <is>
          <t>SigProfiler usage</t>
        </is>
      </c>
      <c r="B10" s="4" t="inlineStr">
        <is>
          <t>Reconstruction recomputed from the tool's own Activities x Signatures matches its reported cosine / L1 / L2 to within 0.0005. Channel order aligned. Counts preserved exactly (recon total / obs total = 1.0000). Smallest cluster = 385,898 mutations, so no cluster is too small to fit.</t>
        </is>
      </c>
    </row>
    <row r="11">
      <c r="A11" s="5" t="inlineStr"/>
      <c r="B11" s="4" t="inlineStr"/>
    </row>
    <row r="12">
      <c r="A12" s="3" t="inlineStr">
        <is>
          <t>METRICS THAT DO NOT WORK ON THIS DATA</t>
        </is>
      </c>
      <c r="B12" s="4" t="inlineStr"/>
    </row>
    <row r="13">
      <c r="A13" s="5" t="inlineStr">
        <is>
          <t>Persistence</t>
        </is>
      </c>
      <c r="B13" s="4" t="inlineStr">
        <is>
          <t>26 of 28 cells report exactly 1.0. cuML's HDBSCAN is not populating cluster_persistence_ meaningfully. Unusable as reported.</t>
        </is>
      </c>
    </row>
    <row r="14">
      <c r="A14" s="5" t="inlineStr">
        <is>
          <t>Connectivity</t>
        </is>
      </c>
      <c r="B14" s="4" t="inlineStr">
        <is>
          <t>0.9976 to 1.0000 across the whole grid — a 0.2% spread. Monotone in cluster count (one cluster scores 1.0 by construction). No discriminating power.</t>
        </is>
      </c>
    </row>
    <row r="15">
      <c r="A15" s="5" t="inlineStr">
        <is>
          <t>DBCV</t>
        </is>
      </c>
      <c r="B15" s="4" t="inlineStr">
        <is>
          <t>Scored on only 11 of 28 cells; the 500-cluster ceiling excludes both extremes of the grid. Range 0.386–0.485 where available.</t>
        </is>
      </c>
    </row>
    <row r="16">
      <c r="A16" s="5" t="inlineStr">
        <is>
          <t>Marginal divergence</t>
        </is>
      </c>
      <c r="B16" s="4" t="inlineStr">
        <is>
          <t>Correlates +0.939 with top-channel share, so it re-measures single-context concentration rather than clustering quality. Shuffled null scores 0.0000 as designed, but the metric rewards the pathology. Reported here, not recommended.</t>
        </is>
      </c>
    </row>
    <row r="17">
      <c r="A17" s="5" t="inlineStr"/>
      <c r="B17" s="4" t="inlineStr"/>
    </row>
    <row r="18">
      <c r="A18" s="3" t="inlineStr">
        <is>
          <t>KEY FINDINGS</t>
        </is>
      </c>
      <c r="B18" s="4" t="inlineStr"/>
    </row>
    <row r="19">
      <c r="A19" s="5" t="inlineStr">
        <is>
          <t>Cosine is forgiving</t>
        </is>
      </c>
      <c r="B19" s="4" t="inlineStr">
        <is>
          <t>L1 % exceeds 100 in every cell (168–177). With counts preserved, L1 = 133% means ~67% of mutations sit in the wrong channel — at a reported cosine of 0.75. Cosine is dominated by the few large channels; L1 is the honest measure.</t>
        </is>
      </c>
    </row>
    <row r="20">
      <c r="A20" s="5" t="inlineStr">
        <is>
          <t>uv_only was the wrong reference</t>
        </is>
      </c>
      <c r="B20" s="4" t="inlineStr">
        <is>
          <t>Full COSMIC lifts median cosine from 0.25 to 0.73 and mutation share above 0.7 from 5.6% to 51.8% on the same matrix. Every uv_only number in this workbook is measured through a reference that cannot fit the data.</t>
        </is>
      </c>
    </row>
    <row r="21">
      <c r="A21" s="5" t="inlineStr">
        <is>
          <t>Composition is parameter-invariant</t>
        </is>
      </c>
      <c r="B21" s="4" t="inlineStr">
        <is>
          <t>Across 89 to 1,330 clusters: UV 8.75–9.38%, artefact-suspect 20.2–22.6%, unknown-etiology 10.4–12.1%. A 15x change in granularity moves UV by 0.63 points.</t>
        </is>
      </c>
    </row>
    <row r="22">
      <c r="A22" s="5" t="inlineStr">
        <is>
          <t>The clustering does real work</t>
        </is>
      </c>
      <c r="B22" s="4" t="inlineStr">
        <is>
          <t>Shuffled null (same cluster sizes, permuted membership) recovers UV 0.00% and collapses onto unknown-etiology signatures at 47%. Real clusterings recover ~9% UV. UV is undetectable in the pooled cohort and only becomes assignable after clustering.</t>
        </is>
      </c>
    </row>
    <row r="23">
      <c r="A23" s="5" t="inlineStr">
        <is>
          <t>The 25M cells are not a win</t>
        </is>
      </c>
      <c r="B23" s="4" t="inlineStr">
        <is>
          <t>Highest cosine (0.30–0.32) and highest frac_clusters&gt;0.7 (0.11–0.14), but the lowest mutation share &gt;0.7 (0.064). Cosine correlates -0.877 with noise fraction: low noise means smoother cluster spectra, which fit more easily. Same effect that let the shuffled null score 0.80.</t>
        </is>
      </c>
    </row>
    <row r="24">
      <c r="A24" s="5" t="inlineStr">
        <is>
          <t>min_samples does nothing</t>
        </is>
      </c>
      <c r="B24" s="4" t="inlineStr">
        <is>
          <t>Spearman +0.15 (p=0.44) against mutation share &gt;0.7; +0.07 (p=0.72) against top-channel share. Drop this axis from future grids.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3" customWidth="1" min="3" max="3"/>
    <col width="13" customWidth="1" min="4" max="4"/>
    <col width="13" customWidth="1" min="5" max="5"/>
    <col width="11" customWidth="1" min="6" max="6"/>
    <col width="62" customWidth="1" min="7" max="7"/>
  </cols>
  <sheetData>
    <row r="1">
      <c r="A1" s="6" t="inlineStr">
        <is>
          <t>Spread of every metric across all 28 cells</t>
        </is>
      </c>
    </row>
    <row r="2">
      <c r="A2" s="7" t="inlineStr">
        <is>
          <t>Computed live from 'All Cells'. 'Spread %' = (max - min) / |mean|. Under ~1% means the metric does not discriminate between cells.</t>
        </is>
      </c>
    </row>
    <row r="4">
      <c r="A4" s="8" t="inlineStr">
        <is>
          <t>Clusters</t>
        </is>
      </c>
      <c r="B4" s="8">
        <f>COUNT('All Cells'!E2:E29)</f>
        <v/>
      </c>
      <c r="C4" s="8">
        <f>MIN('All Cells'!E2:E29)</f>
        <v/>
      </c>
      <c r="D4" s="8">
        <f>MAX('All Cells'!E2:E29)</f>
        <v/>
      </c>
      <c r="E4" s="8">
        <f>AVERAGE('All Cells'!E2:E29)</f>
        <v/>
      </c>
      <c r="F4" s="8">
        <f>IFERROR((MAX('All Cells'!E2:E29)-MIN('All Cells'!E2:E29))/ABS(AVERAGE('All Cells'!E2:E29)),"")</f>
        <v/>
      </c>
      <c r="G4" s="8" t="n"/>
    </row>
    <row r="5">
      <c r="A5" s="9" t="inlineStr">
        <is>
          <t>Noise %</t>
        </is>
      </c>
      <c r="B5" s="9">
        <f>COUNT('All Cells'!F2:F29)</f>
        <v/>
      </c>
      <c r="C5" s="10">
        <f>MIN('All Cells'!F2:F29)</f>
        <v/>
      </c>
      <c r="D5" s="10">
        <f>MAX('All Cells'!F2:F29)</f>
        <v/>
      </c>
      <c r="E5" s="10">
        <f>AVERAGE('All Cells'!F2:F29)</f>
        <v/>
      </c>
      <c r="F5" s="11">
        <f>IFERROR((MAX('All Cells'!F2:F29)-MIN('All Cells'!F2:F29))/ABS(AVERAGE('All Cells'!F2:F29)),"")</f>
        <v/>
      </c>
      <c r="G5" s="9" t="n"/>
    </row>
    <row r="6">
      <c r="A6" s="9" t="inlineStr">
        <is>
          <t>Fit (min)</t>
        </is>
      </c>
      <c r="B6" s="9">
        <f>COUNT('All Cells'!G2:G29)</f>
        <v/>
      </c>
      <c r="C6" s="10">
        <f>MIN('All Cells'!G2:G29)</f>
        <v/>
      </c>
      <c r="D6" s="10">
        <f>MAX('All Cells'!G2:G29)</f>
        <v/>
      </c>
      <c r="E6" s="10">
        <f>AVERAGE('All Cells'!G2:G29)</f>
        <v/>
      </c>
      <c r="F6" s="11">
        <f>IFERROR((MAX('All Cells'!G2:G29)-MIN('All Cells'!G2:G29))/ABS(AVERAGE('All Cells'!G2:G29)),"")</f>
        <v/>
      </c>
      <c r="G6" s="9" t="n"/>
    </row>
    <row r="7">
      <c r="A7" s="9" t="inlineStr">
        <is>
          <t>Label (min)</t>
        </is>
      </c>
      <c r="B7" s="9">
        <f>COUNT('All Cells'!H2:H29)</f>
        <v/>
      </c>
      <c r="C7" s="10">
        <f>MIN('All Cells'!H2:H29)</f>
        <v/>
      </c>
      <c r="D7" s="10">
        <f>MAX('All Cells'!H2:H29)</f>
        <v/>
      </c>
      <c r="E7" s="10">
        <f>AVERAGE('All Cells'!H2:H29)</f>
        <v/>
      </c>
      <c r="F7" s="11">
        <f>IFERROR((MAX('All Cells'!H2:H29)-MIN('All Cells'!H2:H29))/ABS(AVERAGE('All Cells'!H2:H29)),"")</f>
        <v/>
      </c>
      <c r="G7" s="9" t="n"/>
    </row>
    <row r="8">
      <c r="A8" s="9" t="inlineStr">
        <is>
          <t>Mutations (M)</t>
        </is>
      </c>
      <c r="B8" s="9">
        <f>COUNT('All Cells'!I2:I29)</f>
        <v/>
      </c>
      <c r="C8" s="10">
        <f>MIN('All Cells'!I2:I29)</f>
        <v/>
      </c>
      <c r="D8" s="10">
        <f>MAX('All Cells'!I2:I29)</f>
        <v/>
      </c>
      <c r="E8" s="10">
        <f>AVERAGE('All Cells'!I2:I29)</f>
        <v/>
      </c>
      <c r="F8" s="11">
        <f>IFERROR((MAX('All Cells'!I2:I29)-MIN('All Cells'!I2:I29))/ABS(AVERAGE('All Cells'!I2:I29)),"")</f>
        <v/>
      </c>
      <c r="G8" s="9" t="n"/>
    </row>
    <row r="9">
      <c r="A9" s="9" t="inlineStr">
        <is>
          <t>DBCV</t>
        </is>
      </c>
      <c r="B9" s="9">
        <f>COUNT('All Cells'!J2:J29)</f>
        <v/>
      </c>
      <c r="C9" s="10">
        <f>MIN('All Cells'!J2:J29)</f>
        <v/>
      </c>
      <c r="D9" s="10">
        <f>MAX('All Cells'!J2:J29)</f>
        <v/>
      </c>
      <c r="E9" s="10">
        <f>AVERAGE('All Cells'!J2:J29)</f>
        <v/>
      </c>
      <c r="F9" s="11">
        <f>IFERROR((MAX('All Cells'!J2:J29)-MIN('All Cells'!J2:J29))/ABS(AVERAGE('All Cells'!J2:J29)),"")</f>
        <v/>
      </c>
      <c r="G9" s="9" t="inlineStr">
        <is>
          <t>PARTIAL — only scored below the 500-cluster ceiling</t>
        </is>
      </c>
    </row>
    <row r="10">
      <c r="A10" s="9" t="inlineStr">
        <is>
          <t>Prob mean</t>
        </is>
      </c>
      <c r="B10" s="9">
        <f>COUNT('All Cells'!K2:K29)</f>
        <v/>
      </c>
      <c r="C10" s="10">
        <f>MIN('All Cells'!K2:K29)</f>
        <v/>
      </c>
      <c r="D10" s="10">
        <f>MAX('All Cells'!K2:K29)</f>
        <v/>
      </c>
      <c r="E10" s="10">
        <f>AVERAGE('All Cells'!K2:K29)</f>
        <v/>
      </c>
      <c r="F10" s="11">
        <f>IFERROR((MAX('All Cells'!K2:K29)-MIN('All Cells'!K2:K29))/ABS(AVERAGE('All Cells'!K2:K29)),"")</f>
        <v/>
      </c>
      <c r="G10" s="9" t="n"/>
    </row>
    <row r="11">
      <c r="A11" s="9" t="inlineStr">
        <is>
          <t>Persistence mean</t>
        </is>
      </c>
      <c r="B11" s="9">
        <f>COUNT('All Cells'!L2:L29)</f>
        <v/>
      </c>
      <c r="C11" s="10">
        <f>MIN('All Cells'!L2:L29)</f>
        <v/>
      </c>
      <c r="D11" s="10">
        <f>MAX('All Cells'!L2:L29)</f>
        <v/>
      </c>
      <c r="E11" s="10">
        <f>AVERAGE('All Cells'!L2:L29)</f>
        <v/>
      </c>
      <c r="F11" s="11">
        <f>IFERROR((MAX('All Cells'!L2:L29)-MIN('All Cells'!L2:L29))/ABS(AVERAGE('All Cells'!L2:L29)),"")</f>
        <v/>
      </c>
      <c r="G11" s="12" t="inlineStr">
        <is>
          <t>BROKEN — 26/28 cells report exactly 1.0 (cuML)</t>
        </is>
      </c>
    </row>
    <row r="12">
      <c r="A12" s="9" t="inlineStr">
        <is>
          <t>Cosine mean (uv_only)</t>
        </is>
      </c>
      <c r="B12" s="9">
        <f>COUNT('All Cells'!M2:M29)</f>
        <v/>
      </c>
      <c r="C12" s="10">
        <f>MIN('All Cells'!M2:M29)</f>
        <v/>
      </c>
      <c r="D12" s="10">
        <f>MAX('All Cells'!M2:M29)</f>
        <v/>
      </c>
      <c r="E12" s="10">
        <f>AVERAGE('All Cells'!M2:M29)</f>
        <v/>
      </c>
      <c r="F12" s="11">
        <f>IFERROR((MAX('All Cells'!M2:M29)-MIN('All Cells'!M2:M29))/ABS(AVERAGE('All Cells'!M2:M29)),"")</f>
        <v/>
      </c>
      <c r="G12" s="9" t="inlineStr">
        <is>
          <t>Confounded: rho -0.877 with noise fraction</t>
        </is>
      </c>
    </row>
    <row r="13">
      <c r="A13" s="9" t="inlineStr">
        <is>
          <t>Cosine median (uv_only)</t>
        </is>
      </c>
      <c r="B13" s="9">
        <f>COUNT('All Cells'!N2:N29)</f>
        <v/>
      </c>
      <c r="C13" s="10">
        <f>MIN('All Cells'!N2:N29)</f>
        <v/>
      </c>
      <c r="D13" s="10">
        <f>MAX('All Cells'!N2:N29)</f>
        <v/>
      </c>
      <c r="E13" s="10">
        <f>AVERAGE('All Cells'!N2:N29)</f>
        <v/>
      </c>
      <c r="F13" s="11">
        <f>IFERROR((MAX('All Cells'!N2:N29)-MIN('All Cells'!N2:N29))/ABS(AVERAGE('All Cells'!N2:N29)),"")</f>
        <v/>
      </c>
      <c r="G13" s="12" t="inlineStr">
        <is>
          <t>Confounded: see cosine mean</t>
        </is>
      </c>
    </row>
    <row r="14">
      <c r="A14" s="9" t="inlineStr">
        <is>
          <t>Frac clusters &gt;0.7</t>
        </is>
      </c>
      <c r="B14" s="9">
        <f>COUNT('All Cells'!O2:O29)</f>
        <v/>
      </c>
      <c r="C14" s="10">
        <f>MIN('All Cells'!O2:O29)</f>
        <v/>
      </c>
      <c r="D14" s="10">
        <f>MAX('All Cells'!O2:O29)</f>
        <v/>
      </c>
      <c r="E14" s="10">
        <f>AVERAGE('All Cells'!O2:O29)</f>
        <v/>
      </c>
      <c r="F14" s="11">
        <f>IFERROR((MAX('All Cells'!O2:O29)-MIN('All Cells'!O2:O29))/ABS(AVERAGE('All Cells'!O2:O29)),"")</f>
        <v/>
      </c>
      <c r="G14" s="9" t="inlineStr">
        <is>
          <t>Count-weighted — ranks cells differently to mass</t>
        </is>
      </c>
    </row>
    <row r="15">
      <c r="A15" s="9" t="inlineStr">
        <is>
          <t>Mutation share &gt;0.7</t>
        </is>
      </c>
      <c r="B15" s="9">
        <f>COUNT('All Cells'!P2:P29)</f>
        <v/>
      </c>
      <c r="C15" s="10">
        <f>MIN('All Cells'!P2:P29)</f>
        <v/>
      </c>
      <c r="D15" s="10">
        <f>MAX('All Cells'!P2:P29)</f>
        <v/>
      </c>
      <c r="E15" s="10">
        <f>AVERAGE('All Cells'!P2:P29)</f>
        <v/>
      </c>
      <c r="F15" s="11">
        <f>IFERROR((MAX('All Cells'!P2:P29)-MIN('All Cells'!P2:P29))/ABS(AVERAGE('All Cells'!P2:P29)),"")</f>
        <v/>
      </c>
      <c r="G15" s="9" t="inlineStr">
        <is>
          <t>Mass-weighted, but itself inflated by high noise</t>
        </is>
      </c>
    </row>
    <row r="16">
      <c r="A16" s="9" t="inlineStr">
        <is>
          <t>Mutation share &gt;0.8</t>
        </is>
      </c>
      <c r="B16" s="9">
        <f>COUNT('All Cells'!Q2:Q29)</f>
        <v/>
      </c>
      <c r="C16" s="10">
        <f>MIN('All Cells'!Q2:Q29)</f>
        <v/>
      </c>
      <c r="D16" s="10">
        <f>MAX('All Cells'!Q2:Q29)</f>
        <v/>
      </c>
      <c r="E16" s="10">
        <f>AVERAGE('All Cells'!Q2:Q29)</f>
        <v/>
      </c>
      <c r="F16" s="11">
        <f>IFERROR((MAX('All Cells'!Q2:Q29)-MIN('All Cells'!Q2:Q29))/ABS(AVERAGE('All Cells'!Q2:Q29)),"")</f>
        <v/>
      </c>
      <c r="G16" s="9" t="n"/>
    </row>
    <row r="17">
      <c r="A17" s="9" t="n"/>
      <c r="B17" s="9" t="n"/>
      <c r="C17" s="10" t="n"/>
      <c r="D17" s="10" t="n"/>
      <c r="E17" s="10" t="n"/>
      <c r="F17" s="11" t="n"/>
      <c r="G17" s="9" t="n"/>
    </row>
    <row r="18">
      <c r="A18" s="9" t="n"/>
      <c r="B18" s="9" t="n"/>
      <c r="C18" s="10" t="n"/>
      <c r="D18" s="10" t="n"/>
      <c r="E18" s="10" t="n"/>
      <c r="F18" s="11" t="n"/>
      <c r="G18" s="9" t="n"/>
    </row>
    <row r="19">
      <c r="A19" s="9" t="n"/>
      <c r="B19" s="9" t="n"/>
      <c r="C19" s="10" t="n"/>
      <c r="D19" s="10" t="n"/>
      <c r="E19" s="10" t="n"/>
      <c r="F19" s="11" t="n"/>
      <c r="G19" s="9" t="n"/>
    </row>
    <row r="20">
      <c r="A20" s="9" t="n"/>
      <c r="B20" s="9" t="n"/>
      <c r="C20" s="10" t="n"/>
      <c r="D20" s="10" t="n"/>
      <c r="E20" s="10" t="n"/>
      <c r="F20" s="11" t="n"/>
      <c r="G20" s="9" t="n"/>
    </row>
    <row r="21">
      <c r="A21" s="9" t="n"/>
      <c r="B21" s="9" t="n"/>
      <c r="C21" s="10" t="n"/>
      <c r="D21" s="10" t="n"/>
      <c r="E21" s="10" t="n"/>
      <c r="F21" s="11" t="n"/>
      <c r="G21" s="9" t="n"/>
    </row>
    <row r="22">
      <c r="A22" s="9" t="n"/>
      <c r="B22" s="9" t="n"/>
      <c r="C22" s="10" t="n"/>
      <c r="D22" s="10" t="n"/>
      <c r="E22" s="10" t="n"/>
      <c r="F22" s="11" t="n"/>
      <c r="G22" s="9" t="n"/>
    </row>
    <row r="23">
      <c r="A23" s="9" t="n"/>
      <c r="B23" s="9" t="n"/>
      <c r="C23" s="10" t="n"/>
      <c r="D23" s="10" t="n"/>
      <c r="E23" s="10" t="n"/>
      <c r="F23" s="11" t="n"/>
      <c r="G23" s="9" t="n"/>
    </row>
    <row r="24">
      <c r="A24" s="9" t="n"/>
      <c r="B24" s="9" t="n"/>
      <c r="C24" s="10" t="n"/>
      <c r="D24" s="10" t="n"/>
      <c r="E24" s="10" t="n"/>
      <c r="F24" s="11" t="n"/>
      <c r="G24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3.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.05" customWidth="1" min="9" max="9"/>
    <col width="11" customWidth="1" min="10" max="10"/>
    <col width="11" customWidth="1" min="11" max="11"/>
    <col width="11" customWidth="1" min="12" max="12"/>
    <col width="13.6" customWidth="1" min="13" max="13"/>
    <col width="15.3" customWidth="1" min="14" max="14"/>
    <col width="17.85" customWidth="1" min="15" max="15"/>
    <col width="12.75" customWidth="1" min="16" max="16"/>
    <col width="17.85" customWidth="1" min="17" max="17"/>
    <col width="19.55" customWidth="1" min="18" max="18"/>
    <col width="11" customWidth="1" min="19" max="19"/>
    <col width="11" customWidth="1" min="20" max="20"/>
    <col width="11" customWidth="1" min="21" max="21"/>
    <col width="15.3" customWidth="1" min="22" max="22"/>
    <col width="16.15" customWidth="1" min="23" max="23"/>
    <col width="16.15" customWidth="1" min="24" max="24"/>
  </cols>
  <sheetData>
    <row r="1" ht="34" customHeight="1">
      <c r="A1" s="13" t="inlineStr">
        <is>
          <t>Cell</t>
        </is>
      </c>
      <c r="B1" s="13" t="inlineStr">
        <is>
          <t>Fit rows (M)</t>
        </is>
      </c>
      <c r="C1" s="13" t="inlineStr">
        <is>
          <t>min_cluster_size</t>
        </is>
      </c>
      <c r="D1" s="13" t="inlineStr">
        <is>
          <t>min_samples</t>
        </is>
      </c>
      <c r="E1" s="13" t="inlineStr">
        <is>
          <t>Clusters</t>
        </is>
      </c>
      <c r="F1" s="13" t="inlineStr">
        <is>
          <t>Noise %</t>
        </is>
      </c>
      <c r="G1" s="13" t="inlineStr">
        <is>
          <t>Fit (min)</t>
        </is>
      </c>
      <c r="H1" s="13" t="inlineStr">
        <is>
          <t>Label (min)</t>
        </is>
      </c>
      <c r="I1" s="13" t="inlineStr">
        <is>
          <t>Mutations (M)</t>
        </is>
      </c>
      <c r="J1" s="13" t="inlineStr">
        <is>
          <t>DBCV</t>
        </is>
      </c>
      <c r="K1" s="13" t="inlineStr">
        <is>
          <t>Prob mean</t>
        </is>
      </c>
      <c r="L1" s="13" t="inlineStr">
        <is>
          <t>Persistence mean</t>
        </is>
      </c>
      <c r="M1" s="13" t="inlineStr">
        <is>
          <t>Cosine mean (uv_only)</t>
        </is>
      </c>
      <c r="N1" s="13" t="inlineStr">
        <is>
          <t>Cosine median (uv_only)</t>
        </is>
      </c>
      <c r="O1" s="13" t="inlineStr">
        <is>
          <t>Frac clusters &gt;0.7</t>
        </is>
      </c>
      <c r="P1" s="13" t="inlineStr">
        <is>
          <t>Mutation share &gt;0.7</t>
        </is>
      </c>
      <c r="Q1" s="13" t="inlineStr">
        <is>
          <t>Mutation share &gt;0.8</t>
        </is>
      </c>
    </row>
    <row r="2">
      <c r="A2" s="14" t="inlineStr">
        <is>
          <t>fit500000_mcs250_ms5_eom</t>
        </is>
      </c>
      <c r="B2" s="15" t="n">
        <v>0.5</v>
      </c>
      <c r="C2" s="14" t="n">
        <v>250</v>
      </c>
      <c r="D2" s="14" t="n">
        <v>5</v>
      </c>
      <c r="E2" s="14" t="n">
        <v>560</v>
      </c>
      <c r="F2" s="15" t="n">
        <v>12.41757511257982</v>
      </c>
      <c r="G2" s="15" t="n">
        <v>0.1</v>
      </c>
      <c r="H2" s="15" t="n">
        <v>0.895</v>
      </c>
      <c r="I2" s="16" t="n">
        <v>137.943699</v>
      </c>
      <c r="J2" s="14" t="inlineStr"/>
      <c r="K2" s="15" t="n">
        <v>0.7577991602566643</v>
      </c>
      <c r="L2" s="14" t="n">
        <v>1</v>
      </c>
      <c r="M2" s="15" t="n">
        <v>0.2689267857142857</v>
      </c>
      <c r="N2" s="15" t="n">
        <v>0.1505</v>
      </c>
      <c r="O2" s="15" t="n">
        <v>0.09285714285714286</v>
      </c>
      <c r="P2" s="15" t="n">
        <v>0.0820529975783816</v>
      </c>
      <c r="Q2" s="15" t="n">
        <v>0.02177929127447858</v>
      </c>
    </row>
    <row r="3">
      <c r="A3" s="14" t="inlineStr">
        <is>
          <t>fit500000_mcs500_ms5_eom</t>
        </is>
      </c>
      <c r="B3" s="15" t="n">
        <v>0.5</v>
      </c>
      <c r="C3" s="14" t="n">
        <v>500</v>
      </c>
      <c r="D3" s="14" t="n">
        <v>5</v>
      </c>
      <c r="E3" s="14" t="n">
        <v>363</v>
      </c>
      <c r="F3" s="15" t="n">
        <v>9.1178710715156</v>
      </c>
      <c r="G3" s="15" t="n">
        <v>0.09666666666666666</v>
      </c>
      <c r="H3" s="15" t="n">
        <v>0.8883333333333333</v>
      </c>
      <c r="I3" s="16" t="n">
        <v>143.140786</v>
      </c>
      <c r="J3" s="15" t="n">
        <v>0.4128023184012705</v>
      </c>
      <c r="K3" s="15" t="n">
        <v>0.7821447807448335</v>
      </c>
      <c r="L3" s="14" t="n">
        <v>1</v>
      </c>
      <c r="M3" s="15" t="n">
        <v>0.2699669421487603</v>
      </c>
      <c r="N3" s="15" t="n">
        <v>0.166</v>
      </c>
      <c r="O3" s="15" t="n">
        <v>0.08264462809917356</v>
      </c>
      <c r="P3" s="15" t="n">
        <v>0.07123348477351521</v>
      </c>
      <c r="Q3" s="15" t="n">
        <v>0.02033038298392465</v>
      </c>
    </row>
    <row r="4">
      <c r="A4" s="14" t="inlineStr">
        <is>
          <t>fit500000_mcs1000_ms5_eom</t>
        </is>
      </c>
      <c r="B4" s="15" t="n">
        <v>0.5</v>
      </c>
      <c r="C4" s="14" t="n">
        <v>1000</v>
      </c>
      <c r="D4" s="14" t="n">
        <v>5</v>
      </c>
      <c r="E4" s="14" t="n">
        <v>220</v>
      </c>
      <c r="F4" s="15" t="n">
        <v>7.899419802645789</v>
      </c>
      <c r="G4" s="15" t="n">
        <v>0.09666666666666666</v>
      </c>
      <c r="H4" s="15" t="n">
        <v>0.895</v>
      </c>
      <c r="I4" s="16" t="n">
        <v>145.059863</v>
      </c>
      <c r="J4" s="15" t="n">
        <v>0.4521979986957199</v>
      </c>
      <c r="K4" s="15" t="n">
        <v>0.8258201317352473</v>
      </c>
      <c r="L4" s="14" t="n">
        <v>1</v>
      </c>
      <c r="M4" s="15" t="n">
        <v>0.27875</v>
      </c>
      <c r="N4" s="15" t="n">
        <v>0.2295</v>
      </c>
      <c r="O4" s="15" t="n">
        <v>0.07272727272727272</v>
      </c>
      <c r="P4" s="15" t="n">
        <v>0.0616904898083352</v>
      </c>
      <c r="Q4" s="15" t="n">
        <v>0.0165946868431828</v>
      </c>
    </row>
    <row r="5">
      <c r="A5" s="14" t="inlineStr">
        <is>
          <t>fit500000_mcs2500_ms5_eom</t>
        </is>
      </c>
      <c r="B5" s="15" t="n">
        <v>0.5</v>
      </c>
      <c r="C5" s="14" t="n">
        <v>2500</v>
      </c>
      <c r="D5" s="14" t="n">
        <v>5</v>
      </c>
      <c r="E5" s="14" t="n">
        <v>88</v>
      </c>
      <c r="F5" s="15" t="n">
        <v>12.50466503256666</v>
      </c>
      <c r="G5" s="15" t="n">
        <v>0.09666666666666666</v>
      </c>
      <c r="H5" s="15" t="n">
        <v>0.8966666666666666</v>
      </c>
      <c r="I5" s="16" t="n">
        <v>137.806527</v>
      </c>
      <c r="J5" s="15" t="n">
        <v>0.4663005600758163</v>
      </c>
      <c r="K5" s="15" t="n">
        <v>0.8199205669233136</v>
      </c>
      <c r="L5" s="15" t="n">
        <v>0.2148542429759717</v>
      </c>
      <c r="M5" s="15" t="n">
        <v>0.2613409090909091</v>
      </c>
      <c r="N5" s="15" t="n">
        <v>0.148</v>
      </c>
      <c r="O5" s="15" t="n">
        <v>0.05681818181818182</v>
      </c>
      <c r="P5" s="15" t="n">
        <v>0.05478569240773334</v>
      </c>
      <c r="Q5" s="15" t="n">
        <v>0.009028142767141936</v>
      </c>
    </row>
    <row r="6">
      <c r="A6" s="14" t="inlineStr">
        <is>
          <t>fit500000_mcs250_ms15_eom</t>
        </is>
      </c>
      <c r="B6" s="15" t="n">
        <v>0.5</v>
      </c>
      <c r="C6" s="14" t="n">
        <v>250</v>
      </c>
      <c r="D6" s="14" t="n">
        <v>15</v>
      </c>
      <c r="E6" s="14" t="n">
        <v>518</v>
      </c>
      <c r="F6" s="15" t="n">
        <v>10.66433174829103</v>
      </c>
      <c r="G6" s="15" t="n">
        <v>0.08833333333333333</v>
      </c>
      <c r="H6" s="15" t="n">
        <v>1.688333333333333</v>
      </c>
      <c r="I6" s="16" t="n">
        <v>140.705084</v>
      </c>
      <c r="J6" s="14" t="inlineStr"/>
      <c r="K6" s="15" t="n">
        <v>0.7590633978850845</v>
      </c>
      <c r="L6" s="14" t="n">
        <v>1</v>
      </c>
      <c r="M6" s="15" t="n">
        <v>0.2771428571428571</v>
      </c>
      <c r="N6" s="15" t="n">
        <v>0.1685</v>
      </c>
      <c r="O6" s="15" t="n">
        <v>0.09845559845559845</v>
      </c>
      <c r="P6" s="15" t="n">
        <v>0.08060467097265654</v>
      </c>
      <c r="Q6" s="15" t="n">
        <v>0.02007646006593479</v>
      </c>
    </row>
    <row r="7">
      <c r="A7" s="14" t="inlineStr">
        <is>
          <t>fit500000_mcs500_ms15_eom</t>
        </is>
      </c>
      <c r="B7" s="15" t="n">
        <v>0.5</v>
      </c>
      <c r="C7" s="14" t="n">
        <v>500</v>
      </c>
      <c r="D7" s="14" t="n">
        <v>15</v>
      </c>
      <c r="E7" s="14" t="n">
        <v>348</v>
      </c>
      <c r="F7" s="15" t="n">
        <v>8.147844612098494</v>
      </c>
      <c r="G7" s="15" t="n">
        <v>0.08833333333333333</v>
      </c>
      <c r="H7" s="15" t="n">
        <v>1.686666666666667</v>
      </c>
      <c r="I7" s="16" t="n">
        <v>144.668591</v>
      </c>
      <c r="J7" s="15" t="n">
        <v>0.4637210123011424</v>
      </c>
      <c r="K7" s="15" t="n">
        <v>0.7923728404721003</v>
      </c>
      <c r="L7" s="14" t="n">
        <v>1</v>
      </c>
      <c r="M7" s="15" t="n">
        <v>0.2790229885057471</v>
      </c>
      <c r="N7" s="15" t="n">
        <v>0.259</v>
      </c>
      <c r="O7" s="15" t="n">
        <v>0.08908045977011494</v>
      </c>
      <c r="P7" s="15" t="n">
        <v>0.06959596364631768</v>
      </c>
      <c r="Q7" s="15" t="n">
        <v>0.01976272790270004</v>
      </c>
    </row>
    <row r="8">
      <c r="A8" s="14" t="inlineStr">
        <is>
          <t>fit500000_mcs1000_ms15_eom</t>
        </is>
      </c>
      <c r="B8" s="15" t="n">
        <v>0.5</v>
      </c>
      <c r="C8" s="14" t="n">
        <v>1000</v>
      </c>
      <c r="D8" s="14" t="n">
        <v>15</v>
      </c>
      <c r="E8" s="14" t="n">
        <v>215</v>
      </c>
      <c r="F8" s="15" t="n">
        <v>6.621021833558749</v>
      </c>
      <c r="G8" s="15" t="n">
        <v>0.08833333333333333</v>
      </c>
      <c r="H8" s="15" t="n">
        <v>1.68</v>
      </c>
      <c r="I8" s="16" t="n">
        <v>147.073359</v>
      </c>
      <c r="J8" s="15" t="n">
        <v>0.4848066685625286</v>
      </c>
      <c r="K8" s="15" t="n">
        <v>0.8271471021300055</v>
      </c>
      <c r="L8" s="14" t="n">
        <v>1</v>
      </c>
      <c r="M8" s="15" t="n">
        <v>0.2756511627906977</v>
      </c>
      <c r="N8" s="15" t="n">
        <v>0.192</v>
      </c>
      <c r="O8" s="15" t="n">
        <v>0.06511627906976744</v>
      </c>
      <c r="P8" s="15" t="n">
        <v>0.05554374398969156</v>
      </c>
      <c r="Q8" s="15" t="n">
        <v>0.01608106332840335</v>
      </c>
    </row>
    <row r="9">
      <c r="A9" s="14" t="inlineStr">
        <is>
          <t>fit500000_mcs2500_ms15_eom</t>
        </is>
      </c>
      <c r="B9" s="15" t="n">
        <v>0.5</v>
      </c>
      <c r="C9" s="14" t="n">
        <v>2500</v>
      </c>
      <c r="D9" s="14" t="n">
        <v>15</v>
      </c>
      <c r="E9" s="14" t="n">
        <v>89</v>
      </c>
      <c r="F9" s="15" t="n">
        <v>7.271894034332862</v>
      </c>
      <c r="G9" s="15" t="n">
        <v>0.08833333333333333</v>
      </c>
      <c r="H9" s="15" t="n">
        <v>1.678333333333333</v>
      </c>
      <c r="I9" s="16" t="n">
        <v>146.048222</v>
      </c>
      <c r="J9" s="15" t="n">
        <v>0.4428382989208058</v>
      </c>
      <c r="K9" s="15" t="n">
        <v>0.8448959265746215</v>
      </c>
      <c r="L9" s="15" t="n">
        <v>0.2252059307974878</v>
      </c>
      <c r="M9" s="15" t="n">
        <v>0.274943820224719</v>
      </c>
      <c r="N9" s="15" t="n">
        <v>0.192</v>
      </c>
      <c r="O9" s="15" t="n">
        <v>0.03370786516853932</v>
      </c>
      <c r="P9" s="15" t="n">
        <v>0.04920700780595604</v>
      </c>
      <c r="Q9" s="14" t="n">
        <v>0</v>
      </c>
    </row>
    <row r="10">
      <c r="A10" s="14" t="inlineStr">
        <is>
          <t>fit1000000_mcs250_ms5_eom</t>
        </is>
      </c>
      <c r="B10" s="14" t="n">
        <v>1</v>
      </c>
      <c r="C10" s="14" t="n">
        <v>250</v>
      </c>
      <c r="D10" s="14" t="n">
        <v>5</v>
      </c>
      <c r="E10" s="14" t="n">
        <v>814</v>
      </c>
      <c r="F10" s="15" t="n">
        <v>16.82960132844381</v>
      </c>
      <c r="G10" s="15" t="n">
        <v>0.3383333333333333</v>
      </c>
      <c r="H10" s="15" t="n">
        <v>1.16</v>
      </c>
      <c r="I10" s="16" t="n">
        <v>130.994689</v>
      </c>
      <c r="J10" s="14" t="inlineStr"/>
      <c r="K10" s="15" t="n">
        <v>0.750091141519572</v>
      </c>
      <c r="L10" s="14" t="n">
        <v>1</v>
      </c>
      <c r="M10" s="15" t="n">
        <v>0.2560368550368551</v>
      </c>
      <c r="N10" s="15" t="n">
        <v>0.1385</v>
      </c>
      <c r="O10" s="15" t="n">
        <v>0.08230958230958231</v>
      </c>
      <c r="P10" s="15" t="n">
        <v>0.07625467166840634</v>
      </c>
      <c r="Q10" s="15" t="n">
        <v>0.02114936125387496</v>
      </c>
    </row>
    <row r="11">
      <c r="A11" s="14" t="inlineStr">
        <is>
          <t>fit1000000_mcs500_ms5_eom</t>
        </is>
      </c>
      <c r="B11" s="14" t="n">
        <v>1</v>
      </c>
      <c r="C11" s="14" t="n">
        <v>500</v>
      </c>
      <c r="D11" s="14" t="n">
        <v>5</v>
      </c>
      <c r="E11" s="14" t="n">
        <v>584</v>
      </c>
      <c r="F11" s="15" t="n">
        <v>12.89620586663321</v>
      </c>
      <c r="G11" s="15" t="n">
        <v>0.3383333333333333</v>
      </c>
      <c r="H11" s="15" t="n">
        <v>1.146666666666667</v>
      </c>
      <c r="I11" s="16" t="n">
        <v>137.189849</v>
      </c>
      <c r="J11" s="14" t="inlineStr"/>
      <c r="K11" s="15" t="n">
        <v>0.7436407524058435</v>
      </c>
      <c r="L11" s="14" t="n">
        <v>1</v>
      </c>
      <c r="M11" s="15" t="n">
        <v>0.2684195205479452</v>
      </c>
      <c r="N11" s="15" t="n">
        <v>0.166</v>
      </c>
      <c r="O11" s="15" t="n">
        <v>0.08732876712328767</v>
      </c>
      <c r="P11" s="15" t="n">
        <v>0.08413576575917071</v>
      </c>
      <c r="Q11" s="15" t="n">
        <v>0.02439414449679874</v>
      </c>
    </row>
    <row r="12">
      <c r="A12" s="14" t="inlineStr">
        <is>
          <t>fit1000000_mcs1000_ms5_eom</t>
        </is>
      </c>
      <c r="B12" s="14" t="n">
        <v>1</v>
      </c>
      <c r="C12" s="14" t="n">
        <v>1000</v>
      </c>
      <c r="D12" s="14" t="n">
        <v>5</v>
      </c>
      <c r="E12" s="14" t="n">
        <v>375</v>
      </c>
      <c r="F12" s="15" t="n">
        <v>10.68801341548447</v>
      </c>
      <c r="G12" s="15" t="n">
        <v>0.3383333333333333</v>
      </c>
      <c r="H12" s="15" t="n">
        <v>1.14</v>
      </c>
      <c r="I12" s="16" t="n">
        <v>140.667787</v>
      </c>
      <c r="J12" s="15" t="n">
        <v>0.4147930910054567</v>
      </c>
      <c r="K12" s="15" t="n">
        <v>0.7867804759287639</v>
      </c>
      <c r="L12" s="14" t="n">
        <v>1</v>
      </c>
      <c r="M12" s="15" t="n">
        <v>0.2724853333333334</v>
      </c>
      <c r="N12" s="15" t="n">
        <v>0.167</v>
      </c>
      <c r="O12" s="15" t="n">
        <v>0.08</v>
      </c>
      <c r="P12" s="15" t="n">
        <v>0.07149897794297425</v>
      </c>
      <c r="Q12" s="15" t="n">
        <v>0.02011276398341292</v>
      </c>
    </row>
    <row r="13">
      <c r="A13" s="14" t="inlineStr">
        <is>
          <t>fit1000000_mcs2500_ms5_eom</t>
        </is>
      </c>
      <c r="B13" s="14" t="n">
        <v>1</v>
      </c>
      <c r="C13" s="14" t="n">
        <v>2500</v>
      </c>
      <c r="D13" s="14" t="n">
        <v>5</v>
      </c>
      <c r="E13" s="14" t="n">
        <v>176</v>
      </c>
      <c r="F13" s="15" t="n">
        <v>8.241063994405645</v>
      </c>
      <c r="G13" s="15" t="n">
        <v>0.3366666666666667</v>
      </c>
      <c r="H13" s="15" t="n">
        <v>1.13</v>
      </c>
      <c r="I13" s="16" t="n">
        <v>144.521767</v>
      </c>
      <c r="J13" s="15" t="n">
        <v>0.4476687631966826</v>
      </c>
      <c r="K13" s="15" t="n">
        <v>0.8164795904004851</v>
      </c>
      <c r="L13" s="14" t="n">
        <v>1</v>
      </c>
      <c r="M13" s="15" t="n">
        <v>0.2805909090909091</v>
      </c>
      <c r="N13" s="15" t="n">
        <v>0.25</v>
      </c>
      <c r="O13" s="15" t="n">
        <v>0.0625</v>
      </c>
      <c r="P13" s="15" t="n">
        <v>0.05625714498771663</v>
      </c>
      <c r="Q13" s="15" t="n">
        <v>0.01403942148036427</v>
      </c>
    </row>
    <row r="14">
      <c r="A14" s="14" t="inlineStr">
        <is>
          <t>fit1000000_mcs250_ms15_eom</t>
        </is>
      </c>
      <c r="B14" s="14" t="n">
        <v>1</v>
      </c>
      <c r="C14" s="14" t="n">
        <v>250</v>
      </c>
      <c r="D14" s="14" t="n">
        <v>15</v>
      </c>
      <c r="E14" s="14" t="n">
        <v>735</v>
      </c>
      <c r="F14" s="15" t="n">
        <v>15.87770484588155</v>
      </c>
      <c r="G14" s="15" t="n">
        <v>0.315</v>
      </c>
      <c r="H14" s="15" t="n">
        <v>2.09</v>
      </c>
      <c r="I14" s="16" t="n">
        <v>132.49394</v>
      </c>
      <c r="J14" s="14" t="inlineStr"/>
      <c r="K14" s="15" t="n">
        <v>0.7240081410003374</v>
      </c>
      <c r="L14" s="14" t="n">
        <v>1</v>
      </c>
      <c r="M14" s="15" t="n">
        <v>0.2579455782312925</v>
      </c>
      <c r="N14" s="15" t="n">
        <v>0.135</v>
      </c>
      <c r="O14" s="15" t="n">
        <v>0.08571428571428572</v>
      </c>
      <c r="P14" s="15" t="n">
        <v>0.07897716680476104</v>
      </c>
      <c r="Q14" s="15" t="n">
        <v>0.02462465075761201</v>
      </c>
    </row>
    <row r="15">
      <c r="A15" s="14" t="inlineStr">
        <is>
          <t>fit1000000_mcs500_ms15_eom</t>
        </is>
      </c>
      <c r="B15" s="14" t="n">
        <v>1</v>
      </c>
      <c r="C15" s="14" t="n">
        <v>500</v>
      </c>
      <c r="D15" s="14" t="n">
        <v>15</v>
      </c>
      <c r="E15" s="14" t="n">
        <v>534</v>
      </c>
      <c r="F15" s="15" t="n">
        <v>10.89266406089387</v>
      </c>
      <c r="G15" s="15" t="n">
        <v>0.3133333333333334</v>
      </c>
      <c r="H15" s="15" t="n">
        <v>2.083333333333333</v>
      </c>
      <c r="I15" s="16" t="n">
        <v>140.345459</v>
      </c>
      <c r="J15" s="14" t="inlineStr"/>
      <c r="K15" s="15" t="n">
        <v>0.7363463008499256</v>
      </c>
      <c r="L15" s="14" t="n">
        <v>1</v>
      </c>
      <c r="M15" s="15" t="n">
        <v>0.275249063670412</v>
      </c>
      <c r="N15" s="15" t="n">
        <v>0.1655</v>
      </c>
      <c r="O15" s="15" t="n">
        <v>0.09363295880149813</v>
      </c>
      <c r="P15" s="15" t="n">
        <v>0.07704760151876378</v>
      </c>
      <c r="Q15" s="15" t="n">
        <v>0.01974380232708491</v>
      </c>
    </row>
    <row r="16">
      <c r="A16" s="14" t="inlineStr">
        <is>
          <t>fit1000000_mcs1000_ms15_eom</t>
        </is>
      </c>
      <c r="B16" s="14" t="n">
        <v>1</v>
      </c>
      <c r="C16" s="14" t="n">
        <v>1000</v>
      </c>
      <c r="D16" s="14" t="n">
        <v>15</v>
      </c>
      <c r="E16" s="14" t="n">
        <v>357</v>
      </c>
      <c r="F16" s="15" t="n">
        <v>8.309930605140597</v>
      </c>
      <c r="G16" s="15" t="n">
        <v>0.3133333333333334</v>
      </c>
      <c r="H16" s="15" t="n">
        <v>2.078333333333334</v>
      </c>
      <c r="I16" s="16" t="n">
        <v>144.413304</v>
      </c>
      <c r="J16" s="15" t="n">
        <v>0.4509567653001738</v>
      </c>
      <c r="K16" s="15" t="n">
        <v>0.7853521733962677</v>
      </c>
      <c r="L16" s="14" t="n">
        <v>1</v>
      </c>
      <c r="M16" s="15" t="n">
        <v>0.269983193277311</v>
      </c>
      <c r="N16" s="15" t="n">
        <v>0.166</v>
      </c>
      <c r="O16" s="15" t="n">
        <v>0.07563025210084033</v>
      </c>
      <c r="P16" s="15" t="n">
        <v>0.06741617794438108</v>
      </c>
      <c r="Q16" s="15" t="n">
        <v>0.01946716765098041</v>
      </c>
    </row>
    <row r="17">
      <c r="A17" s="14" t="inlineStr">
        <is>
          <t>fit1000000_mcs2500_ms15_eom</t>
        </is>
      </c>
      <c r="B17" s="14" t="n">
        <v>1</v>
      </c>
      <c r="C17" s="14" t="n">
        <v>2500</v>
      </c>
      <c r="D17" s="14" t="n">
        <v>15</v>
      </c>
      <c r="E17" s="14" t="n">
        <v>175</v>
      </c>
      <c r="F17" s="15" t="n">
        <v>7.355254467923434</v>
      </c>
      <c r="G17" s="15" t="n">
        <v>0.3116666666666666</v>
      </c>
      <c r="H17" s="15" t="n">
        <v>2.075</v>
      </c>
      <c r="I17" s="16" t="n">
        <v>145.916931</v>
      </c>
      <c r="J17" s="15" t="n">
        <v>0.4526676847080827</v>
      </c>
      <c r="K17" s="15" t="n">
        <v>0.8283856027977813</v>
      </c>
      <c r="L17" s="14" t="n">
        <v>1</v>
      </c>
      <c r="M17" s="15" t="n">
        <v>0.2803542857142857</v>
      </c>
      <c r="N17" s="15" t="n">
        <v>0.239</v>
      </c>
      <c r="O17" s="15" t="n">
        <v>0.06285714285714286</v>
      </c>
      <c r="P17" s="15" t="n">
        <v>0.0564610490608523</v>
      </c>
      <c r="Q17" s="15" t="n">
        <v>0.01388279609581427</v>
      </c>
    </row>
    <row r="18">
      <c r="A18" s="14" t="inlineStr">
        <is>
          <t>fit5000000_mcs250_ms5_eom</t>
        </is>
      </c>
      <c r="B18" s="14" t="n">
        <v>5</v>
      </c>
      <c r="C18" s="14" t="n">
        <v>250</v>
      </c>
      <c r="D18" s="14" t="n">
        <v>5</v>
      </c>
      <c r="E18" s="14" t="n">
        <v>1096</v>
      </c>
      <c r="F18" s="15" t="n">
        <v>11.67033371982681</v>
      </c>
      <c r="G18" s="15" t="n">
        <v>7.64</v>
      </c>
      <c r="H18" s="15" t="n">
        <v>2.581666666666667</v>
      </c>
      <c r="I18" s="16" t="n">
        <v>139.120617</v>
      </c>
      <c r="J18" s="14" t="inlineStr"/>
      <c r="K18" s="15" t="n">
        <v>0.8624853821398337</v>
      </c>
      <c r="L18" s="14" t="n">
        <v>1</v>
      </c>
      <c r="M18" s="15" t="n">
        <v>0.2568923357664233</v>
      </c>
      <c r="N18" s="15" t="n">
        <v>0.1455</v>
      </c>
      <c r="O18" s="15" t="n">
        <v>0.08485401459854014</v>
      </c>
      <c r="P18" s="15" t="n">
        <v>0.07222456467397639</v>
      </c>
      <c r="Q18" s="15" t="n">
        <v>0.02243829899058024</v>
      </c>
    </row>
    <row r="19">
      <c r="A19" s="14" t="inlineStr">
        <is>
          <t>fit5000000_mcs500_ms5_eom</t>
        </is>
      </c>
      <c r="B19" s="14" t="n">
        <v>5</v>
      </c>
      <c r="C19" s="14" t="n">
        <v>500</v>
      </c>
      <c r="D19" s="14" t="n">
        <v>5</v>
      </c>
      <c r="E19" s="14" t="n">
        <v>856</v>
      </c>
      <c r="F19" s="15" t="n">
        <v>10.62680196605012</v>
      </c>
      <c r="G19" s="15" t="n">
        <v>7.626666666666667</v>
      </c>
      <c r="H19" s="15" t="n">
        <v>2.56</v>
      </c>
      <c r="I19" s="16" t="n">
        <v>140.764196</v>
      </c>
      <c r="J19" s="14" t="inlineStr"/>
      <c r="K19" s="15" t="n">
        <v>0.8554342595469796</v>
      </c>
      <c r="L19" s="14" t="n">
        <v>1</v>
      </c>
      <c r="M19" s="15" t="n">
        <v>0.2627885514018692</v>
      </c>
      <c r="N19" s="15" t="n">
        <v>0.1495</v>
      </c>
      <c r="O19" s="15" t="n">
        <v>0.08761682242990654</v>
      </c>
      <c r="P19" s="15" t="n">
        <v>0.07273741683574138</v>
      </c>
      <c r="Q19" s="15" t="n">
        <v>0.02279618035824962</v>
      </c>
    </row>
    <row r="20">
      <c r="A20" s="14" t="inlineStr">
        <is>
          <t>fit5000000_mcs1000_ms5_eom</t>
        </is>
      </c>
      <c r="B20" s="14" t="n">
        <v>5</v>
      </c>
      <c r="C20" s="14" t="n">
        <v>1000</v>
      </c>
      <c r="D20" s="14" t="n">
        <v>5</v>
      </c>
      <c r="E20" s="14" t="n">
        <v>692</v>
      </c>
      <c r="F20" s="15" t="n">
        <v>9.31909317989064</v>
      </c>
      <c r="G20" s="15" t="n">
        <v>7.63</v>
      </c>
      <c r="H20" s="15" t="n">
        <v>2.535</v>
      </c>
      <c r="I20" s="16" t="n">
        <v>142.823858</v>
      </c>
      <c r="J20" s="14" t="inlineStr"/>
      <c r="K20" s="15" t="n">
        <v>0.8424501972164604</v>
      </c>
      <c r="L20" s="14" t="n">
        <v>1</v>
      </c>
      <c r="M20" s="15" t="n">
        <v>0.2631170520231214</v>
      </c>
      <c r="N20" s="15" t="n">
        <v>0.147</v>
      </c>
      <c r="O20" s="15" t="n">
        <v>0.08526011560693642</v>
      </c>
      <c r="P20" s="15" t="n">
        <v>0.07164352051041781</v>
      </c>
      <c r="Q20" s="15" t="n">
        <v>0.02331022314213078</v>
      </c>
    </row>
    <row r="21">
      <c r="A21" s="14" t="inlineStr">
        <is>
          <t>fit5000000_mcs2500_ms5_eom</t>
        </is>
      </c>
      <c r="B21" s="14" t="n">
        <v>5</v>
      </c>
      <c r="C21" s="14" t="n">
        <v>2500</v>
      </c>
      <c r="D21" s="14" t="n">
        <v>5</v>
      </c>
      <c r="E21" s="14" t="n">
        <v>513</v>
      </c>
      <c r="F21" s="15" t="n">
        <v>8.76731014380935</v>
      </c>
      <c r="G21" s="15" t="n">
        <v>7.621666666666667</v>
      </c>
      <c r="H21" s="15" t="n">
        <v>2.513333333333334</v>
      </c>
      <c r="I21" s="16" t="n">
        <v>143.692925</v>
      </c>
      <c r="J21" s="14" t="inlineStr"/>
      <c r="K21" s="15" t="n">
        <v>0.8387598926329939</v>
      </c>
      <c r="L21" s="14" t="n">
        <v>1</v>
      </c>
      <c r="M21" s="15" t="n">
        <v>0.2797680311890838</v>
      </c>
      <c r="N21" s="15" t="n">
        <v>0.168</v>
      </c>
      <c r="O21" s="15" t="n">
        <v>0.09746588693957114</v>
      </c>
      <c r="P21" s="15" t="n">
        <v>0.0762831085803285</v>
      </c>
      <c r="Q21" s="15" t="n">
        <v>0.02261113412507958</v>
      </c>
    </row>
    <row r="22">
      <c r="A22" s="14" t="inlineStr">
        <is>
          <t>fit5000000_mcs250_ms15_eom</t>
        </is>
      </c>
      <c r="B22" s="14" t="n">
        <v>5</v>
      </c>
      <c r="C22" s="14" t="n">
        <v>250</v>
      </c>
      <c r="D22" s="14" t="n">
        <v>15</v>
      </c>
      <c r="E22" s="14" t="n">
        <v>1330</v>
      </c>
      <c r="F22" s="15" t="n">
        <v>19.43496947776651</v>
      </c>
      <c r="G22" s="15" t="n">
        <v>7.686666666666667</v>
      </c>
      <c r="H22" s="15" t="n">
        <v>4.88</v>
      </c>
      <c r="I22" s="16" t="n">
        <v>126.891194</v>
      </c>
      <c r="J22" s="14" t="inlineStr"/>
      <c r="K22" s="15" t="n">
        <v>0.7679570828001695</v>
      </c>
      <c r="L22" s="14" t="n">
        <v>1</v>
      </c>
      <c r="M22" s="15" t="n">
        <v>0.244281954887218</v>
      </c>
      <c r="N22" s="15" t="n">
        <v>0.13</v>
      </c>
      <c r="O22" s="15" t="n">
        <v>0.07969924812030076</v>
      </c>
      <c r="P22" s="15" t="n">
        <v>0.0802365607813573</v>
      </c>
      <c r="Q22" s="15" t="n">
        <v>0.0258151562511107</v>
      </c>
    </row>
    <row r="23">
      <c r="A23" s="14" t="inlineStr">
        <is>
          <t>fit5000000_mcs500_ms15_eom</t>
        </is>
      </c>
      <c r="B23" s="14" t="n">
        <v>5</v>
      </c>
      <c r="C23" s="14" t="n">
        <v>500</v>
      </c>
      <c r="D23" s="14" t="n">
        <v>15</v>
      </c>
      <c r="E23" s="14" t="n">
        <v>1008</v>
      </c>
      <c r="F23" s="15" t="n">
        <v>17.10576808181861</v>
      </c>
      <c r="G23" s="15" t="n">
        <v>7.686666666666667</v>
      </c>
      <c r="H23" s="15" t="n">
        <v>4.86</v>
      </c>
      <c r="I23" s="16" t="n">
        <v>130.559723</v>
      </c>
      <c r="J23" s="14" t="inlineStr"/>
      <c r="K23" s="15" t="n">
        <v>0.7618706993947411</v>
      </c>
      <c r="L23" s="14" t="n">
        <v>1</v>
      </c>
      <c r="M23" s="15" t="n">
        <v>0.2547876984126984</v>
      </c>
      <c r="N23" s="15" t="n">
        <v>0.14</v>
      </c>
      <c r="O23" s="15" t="n">
        <v>0.08333333333333333</v>
      </c>
      <c r="P23" s="15" t="n">
        <v>0.0815057565647562</v>
      </c>
      <c r="Q23" s="15" t="n">
        <v>0.02647883221994887</v>
      </c>
    </row>
    <row r="24">
      <c r="A24" s="14" t="inlineStr">
        <is>
          <t>fit5000000_mcs1000_ms15_eom</t>
        </is>
      </c>
      <c r="B24" s="14" t="n">
        <v>5</v>
      </c>
      <c r="C24" s="14" t="n">
        <v>1000</v>
      </c>
      <c r="D24" s="14" t="n">
        <v>15</v>
      </c>
      <c r="E24" s="14" t="n">
        <v>784</v>
      </c>
      <c r="F24" s="15" t="n">
        <v>14.39118071069509</v>
      </c>
      <c r="G24" s="15" t="n">
        <v>7.680000000000001</v>
      </c>
      <c r="H24" s="15" t="n">
        <v>4.848333333333333</v>
      </c>
      <c r="I24" s="16" t="n">
        <v>134.835241</v>
      </c>
      <c r="J24" s="14" t="inlineStr"/>
      <c r="K24" s="15" t="n">
        <v>0.7591312310033806</v>
      </c>
      <c r="L24" s="14" t="n">
        <v>1</v>
      </c>
      <c r="M24" s="15" t="n">
        <v>0.2599400510204082</v>
      </c>
      <c r="N24" s="15" t="n">
        <v>0.1465</v>
      </c>
      <c r="O24" s="15" t="n">
        <v>0.08163265306122448</v>
      </c>
      <c r="P24" s="15" t="n">
        <v>0.07758361925574042</v>
      </c>
      <c r="Q24" s="15" t="n">
        <v>0.0255126180254315</v>
      </c>
    </row>
    <row r="25">
      <c r="A25" s="14" t="inlineStr">
        <is>
          <t>fit5000000_mcs2500_ms15_eom</t>
        </is>
      </c>
      <c r="B25" s="14" t="n">
        <v>5</v>
      </c>
      <c r="C25" s="14" t="n">
        <v>2500</v>
      </c>
      <c r="D25" s="14" t="n">
        <v>15</v>
      </c>
      <c r="E25" s="14" t="n">
        <v>548</v>
      </c>
      <c r="F25" s="15" t="n">
        <v>11.25476138080647</v>
      </c>
      <c r="G25" s="15" t="n">
        <v>7.683333333333334</v>
      </c>
      <c r="H25" s="15" t="n">
        <v>4.83</v>
      </c>
      <c r="I25" s="16" t="n">
        <v>139.77515</v>
      </c>
      <c r="J25" s="14" t="inlineStr"/>
      <c r="K25" s="15" t="n">
        <v>0.7711540391826198</v>
      </c>
      <c r="L25" s="14" t="n">
        <v>1</v>
      </c>
      <c r="M25" s="15" t="n">
        <v>0.274978102189781</v>
      </c>
      <c r="N25" s="15" t="n">
        <v>0.166</v>
      </c>
      <c r="O25" s="15" t="n">
        <v>0.09124087591240876</v>
      </c>
      <c r="P25" s="15" t="n">
        <v>0.0761983156519596</v>
      </c>
      <c r="Q25" s="15" t="n">
        <v>0.02114762888825374</v>
      </c>
    </row>
    <row r="26">
      <c r="A26" s="14" t="inlineStr">
        <is>
          <t>fit25000000_mcs250_ms5_eom</t>
        </is>
      </c>
      <c r="B26" s="14" t="n">
        <v>25</v>
      </c>
      <c r="C26" s="14" t="n">
        <v>250</v>
      </c>
      <c r="D26" s="14" t="n">
        <v>5</v>
      </c>
      <c r="E26" s="14" t="n">
        <v>872</v>
      </c>
      <c r="F26" s="15" t="n">
        <v>3.973653470650897</v>
      </c>
      <c r="G26" s="16" t="n">
        <v>194.7916666666667</v>
      </c>
      <c r="H26" s="15" t="n">
        <v>6.796666666666667</v>
      </c>
      <c r="I26" s="16" t="n">
        <v>151.243008</v>
      </c>
      <c r="J26" s="14" t="inlineStr"/>
      <c r="K26" s="15" t="n">
        <v>0.9553379210528967</v>
      </c>
      <c r="L26" s="14" t="n">
        <v>1</v>
      </c>
      <c r="M26" s="15" t="n">
        <v>0.3171559633027523</v>
      </c>
      <c r="N26" s="15" t="n">
        <v>0.295</v>
      </c>
      <c r="O26" s="15" t="n">
        <v>0.143348623853211</v>
      </c>
      <c r="P26" s="15" t="n">
        <v>0.06416489018784921</v>
      </c>
      <c r="Q26" s="15" t="n">
        <v>0.01332710203700789</v>
      </c>
    </row>
    <row r="27">
      <c r="A27" s="14" t="inlineStr">
        <is>
          <t>fit25000000_mcs500_ms5_eom</t>
        </is>
      </c>
      <c r="B27" s="14" t="n">
        <v>25</v>
      </c>
      <c r="C27" s="14" t="n">
        <v>500</v>
      </c>
      <c r="D27" s="14" t="n">
        <v>5</v>
      </c>
      <c r="E27" s="14" t="n">
        <v>634</v>
      </c>
      <c r="F27" s="15" t="n">
        <v>3.644143760335611</v>
      </c>
      <c r="G27" s="16" t="n">
        <v>193.65</v>
      </c>
      <c r="H27" s="15" t="n">
        <v>6.694999999999999</v>
      </c>
      <c r="I27" s="16" t="n">
        <v>151.761991</v>
      </c>
      <c r="J27" s="14" t="inlineStr"/>
      <c r="K27" s="15" t="n">
        <v>0.9505055743404502</v>
      </c>
      <c r="L27" s="14" t="n">
        <v>1</v>
      </c>
      <c r="M27" s="15" t="n">
        <v>0.3049921135646688</v>
      </c>
      <c r="N27" s="15" t="n">
        <v>0.271</v>
      </c>
      <c r="O27" s="15" t="n">
        <v>0.1340694006309148</v>
      </c>
      <c r="P27" s="15" t="n">
        <v>0.06396446129914043</v>
      </c>
      <c r="Q27" s="15" t="n">
        <v>0.01352393960092419</v>
      </c>
    </row>
    <row r="28">
      <c r="A28" s="14" t="inlineStr">
        <is>
          <t>fit25000000_mcs1000_ms5_eom</t>
        </is>
      </c>
      <c r="B28" s="14" t="n">
        <v>25</v>
      </c>
      <c r="C28" s="14" t="n">
        <v>1000</v>
      </c>
      <c r="D28" s="14" t="n">
        <v>5</v>
      </c>
      <c r="E28" s="14" t="n">
        <v>517</v>
      </c>
      <c r="F28" s="15" t="n">
        <v>3.38361748498015</v>
      </c>
      <c r="G28" s="16" t="n">
        <v>193.4933333333333</v>
      </c>
      <c r="H28" s="15" t="n">
        <v>6.641666666666667</v>
      </c>
      <c r="I28" s="16" t="n">
        <v>152.172324</v>
      </c>
      <c r="J28" s="14" t="inlineStr"/>
      <c r="K28" s="15" t="n">
        <v>0.9480772650123501</v>
      </c>
      <c r="L28" s="14" t="n">
        <v>1</v>
      </c>
      <c r="M28" s="15" t="n">
        <v>0.2995512572533849</v>
      </c>
      <c r="N28" s="15" t="n">
        <v>0.266</v>
      </c>
      <c r="O28" s="15" t="n">
        <v>0.1199226305609284</v>
      </c>
      <c r="P28" s="15" t="n">
        <v>0.06419192231039332</v>
      </c>
      <c r="Q28" s="15" t="n">
        <v>0.01397455821204387</v>
      </c>
    </row>
    <row r="29">
      <c r="A29" s="14" t="inlineStr">
        <is>
          <t>fit25000000_mcs2500_ms5_eom</t>
        </is>
      </c>
      <c r="B29" s="14" t="n">
        <v>25</v>
      </c>
      <c r="C29" s="14" t="n">
        <v>2500</v>
      </c>
      <c r="D29" s="14" t="n">
        <v>5</v>
      </c>
      <c r="E29" s="14" t="n">
        <v>441</v>
      </c>
      <c r="F29" s="15" t="n">
        <v>3.18749881747218</v>
      </c>
      <c r="G29" s="16" t="n">
        <v>194.4733333333333</v>
      </c>
      <c r="H29" s="15" t="n">
        <v>6.613333333333333</v>
      </c>
      <c r="I29" s="16" t="n">
        <v>152.481214</v>
      </c>
      <c r="J29" s="15" t="n">
        <v>0.3859413996982173</v>
      </c>
      <c r="K29" s="15" t="n">
        <v>0.9458738361673357</v>
      </c>
      <c r="L29" s="14" t="n">
        <v>1</v>
      </c>
      <c r="M29" s="15" t="n">
        <v>0.3031111111111112</v>
      </c>
      <c r="N29" s="15" t="n">
        <v>0.295</v>
      </c>
      <c r="O29" s="15" t="n">
        <v>0.1111111111111111</v>
      </c>
      <c r="P29" s="15" t="n">
        <v>0.0643464774618072</v>
      </c>
      <c r="Q29" s="15" t="n">
        <v>0.01333629859478952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.9" customWidth="1" min="3" max="3"/>
    <col width="12.75" customWidth="1" min="4" max="4"/>
    <col width="11" customWidth="1" min="5" max="5"/>
    <col width="11" customWidth="1" min="6" max="6"/>
    <col width="11" customWidth="1" min="7" max="7"/>
    <col width="11" customWidth="1" min="8" max="8"/>
    <col width="15.3" customWidth="1" min="9" max="9"/>
    <col width="15.3" customWidth="1" min="10" max="10"/>
    <col width="13.6" customWidth="1" min="11" max="11"/>
    <col width="15.3" customWidth="1" min="12" max="12"/>
    <col width="12.75" customWidth="1" min="13" max="13"/>
    <col width="12.75" customWidth="1" min="14" max="14"/>
    <col width="12.75" customWidth="1" min="15" max="15"/>
    <col width="11.9" customWidth="1" min="16" max="16"/>
    <col width="11.9" customWidth="1" min="17" max="17"/>
    <col width="14.45" customWidth="1" min="18" max="18"/>
    <col width="16.15" customWidth="1" min="19" max="19"/>
    <col width="18.7" customWidth="1" min="20" max="20"/>
    <col width="20" customWidth="1" min="21" max="21"/>
    <col width="11" customWidth="1" min="22" max="22"/>
    <col width="11" customWidth="1" min="23" max="23"/>
    <col width="12.75" customWidth="1" min="24" max="24"/>
    <col width="13.6" customWidth="1" min="25" max="25"/>
    <col width="18.7" customWidth="1" min="26" max="26"/>
    <col width="20" customWidth="1" min="27" max="27"/>
    <col width="11" customWidth="1" min="28" max="28"/>
  </cols>
  <sheetData>
    <row r="1" ht="34" customHeight="1">
      <c r="A1" s="13" t="inlineStr">
        <is>
          <t>Cell</t>
        </is>
      </c>
      <c r="B1" s="13" t="inlineStr">
        <is>
          <t>n_clusters</t>
        </is>
      </c>
      <c r="C1" s="13" t="inlineStr">
        <is>
          <t>noise_fraction</t>
        </is>
      </c>
      <c r="D1" s="13" t="inlineStr">
        <is>
          <t>prob_n_assigned</t>
        </is>
      </c>
      <c r="E1" s="13" t="inlineStr">
        <is>
          <t>prob_mean</t>
        </is>
      </c>
      <c r="F1" s="13" t="inlineStr">
        <is>
          <t>prob_median</t>
        </is>
      </c>
      <c r="G1" s="13" t="inlineStr">
        <is>
          <t>prob_p10</t>
        </is>
      </c>
      <c r="H1" s="13" t="inlineStr">
        <is>
          <t>prob_p90</t>
        </is>
      </c>
      <c r="I1" s="13" t="inlineStr">
        <is>
          <t>prob_frac_above_05</t>
        </is>
      </c>
      <c r="J1" s="13" t="inlineStr">
        <is>
          <t>prob_frac_above_08</t>
        </is>
      </c>
      <c r="K1" s="13" t="inlineStr">
        <is>
          <t>persistence_mean</t>
        </is>
      </c>
      <c r="L1" s="13" t="inlineStr">
        <is>
          <t>persistence_median</t>
        </is>
      </c>
      <c r="M1" s="13" t="inlineStr">
        <is>
          <t>persistence_min</t>
        </is>
      </c>
      <c r="N1" s="13" t="inlineStr">
        <is>
          <t>persistence_max</t>
        </is>
      </c>
      <c r="O1" s="13" t="inlineStr">
        <is>
          <t>persistence_sum</t>
        </is>
      </c>
      <c r="P1" s="13" t="inlineStr">
        <is>
          <t>dbcv</t>
        </is>
      </c>
      <c r="Q1" s="13" t="inlineStr">
        <is>
          <t>scored_rows</t>
        </is>
      </c>
      <c r="R1" s="13" t="inlineStr">
        <is>
          <t>scored_clusters</t>
        </is>
      </c>
      <c r="S1" s="13" t="inlineStr">
        <is>
          <t>dropped_clusters</t>
        </is>
      </c>
      <c r="T1" s="13" t="inlineStr">
        <is>
          <t>dropped_point_fraction</t>
        </is>
      </c>
      <c r="U1" s="13" t="inlineStr">
        <is>
          <t>noise_fraction_in_sample</t>
        </is>
      </c>
      <c r="V1" s="13" t="inlineStr">
        <is>
          <t>dbcv_note</t>
        </is>
      </c>
    </row>
    <row r="2">
      <c r="A2" s="14" t="inlineStr">
        <is>
          <t>fit500000_mcs250_ms5_eom</t>
        </is>
      </c>
      <c r="B2" s="14" t="n">
        <v>560</v>
      </c>
      <c r="C2" s="15" t="n">
        <v>0.100202</v>
      </c>
      <c r="D2" s="14" t="n">
        <v>449899</v>
      </c>
      <c r="E2" s="15" t="n">
        <v>0.7577991602566643</v>
      </c>
      <c r="F2" s="14" t="n">
        <v>1</v>
      </c>
      <c r="G2" s="15" t="n">
        <v>1.880791185523414e-37</v>
      </c>
      <c r="H2" s="14" t="n">
        <v>1</v>
      </c>
      <c r="I2" s="15" t="n">
        <v>0.7737625555958115</v>
      </c>
      <c r="J2" s="15" t="n">
        <v>0.6547891860173061</v>
      </c>
      <c r="K2" s="14" t="n">
        <v>1</v>
      </c>
      <c r="L2" s="14" t="n">
        <v>1</v>
      </c>
      <c r="M2" s="14" t="n">
        <v>1</v>
      </c>
      <c r="N2" s="14" t="n">
        <v>1</v>
      </c>
      <c r="O2" s="14" t="n">
        <v>560</v>
      </c>
      <c r="P2" s="14" t="inlineStr"/>
      <c r="Q2" s="14" t="inlineStr"/>
      <c r="R2" s="14" t="inlineStr"/>
      <c r="S2" s="14" t="inlineStr"/>
      <c r="T2" s="14" t="inlineStr"/>
      <c r="U2" s="14" t="inlineStr"/>
      <c r="V2" s="14" t="inlineStr">
        <is>
          <t>560 clusters exceeds max_clusters=500</t>
        </is>
      </c>
    </row>
    <row r="3">
      <c r="A3" s="14" t="inlineStr">
        <is>
          <t>fit500000_mcs500_ms5_eom</t>
        </is>
      </c>
      <c r="B3" s="14" t="n">
        <v>363</v>
      </c>
      <c r="C3" s="15" t="n">
        <v>0.08183600000000001</v>
      </c>
      <c r="D3" s="14" t="n">
        <v>459082</v>
      </c>
      <c r="E3" s="15" t="n">
        <v>0.7821447807448335</v>
      </c>
      <c r="F3" s="14" t="n">
        <v>1</v>
      </c>
      <c r="G3" s="15" t="n">
        <v>3.761582371046829e-37</v>
      </c>
      <c r="H3" s="14" t="n">
        <v>1</v>
      </c>
      <c r="I3" s="15" t="n">
        <v>0.7952653338619244</v>
      </c>
      <c r="J3" s="15" t="n">
        <v>0.6763671849473515</v>
      </c>
      <c r="K3" s="14" t="n">
        <v>1</v>
      </c>
      <c r="L3" s="14" t="n">
        <v>1</v>
      </c>
      <c r="M3" s="14" t="n">
        <v>1</v>
      </c>
      <c r="N3" s="14" t="n">
        <v>1</v>
      </c>
      <c r="O3" s="14" t="n">
        <v>363</v>
      </c>
      <c r="P3" s="15" t="n">
        <v>0.4128023184012705</v>
      </c>
      <c r="Q3" s="14" t="n">
        <v>22927</v>
      </c>
      <c r="R3" s="14" t="n">
        <v>363</v>
      </c>
      <c r="S3" s="14" t="n">
        <v>0</v>
      </c>
      <c r="T3" s="14" t="n">
        <v>0</v>
      </c>
      <c r="U3" s="15" t="n">
        <v>0.0829</v>
      </c>
      <c r="V3" s="14" t="inlineStr"/>
    </row>
    <row r="4">
      <c r="A4" s="14" t="inlineStr">
        <is>
          <t>fit500000_mcs1000_ms5_eom</t>
        </is>
      </c>
      <c r="B4" s="14" t="n">
        <v>220</v>
      </c>
      <c r="C4" s="15" t="n">
        <v>0.075934</v>
      </c>
      <c r="D4" s="14" t="n">
        <v>462033</v>
      </c>
      <c r="E4" s="15" t="n">
        <v>0.8258201317352473</v>
      </c>
      <c r="F4" s="14" t="n">
        <v>1</v>
      </c>
      <c r="G4" s="15" t="n">
        <v>0.3244428336620331</v>
      </c>
      <c r="H4" s="14" t="n">
        <v>1</v>
      </c>
      <c r="I4" s="15" t="n">
        <v>0.8308086218949728</v>
      </c>
      <c r="J4" s="15" t="n">
        <v>0.713100579395844</v>
      </c>
      <c r="K4" s="14" t="n">
        <v>1</v>
      </c>
      <c r="L4" s="14" t="n">
        <v>1</v>
      </c>
      <c r="M4" s="14" t="n">
        <v>1</v>
      </c>
      <c r="N4" s="14" t="n">
        <v>1</v>
      </c>
      <c r="O4" s="14" t="n">
        <v>220</v>
      </c>
      <c r="P4" s="15" t="n">
        <v>0.4521979986957199</v>
      </c>
      <c r="Q4" s="14" t="n">
        <v>23172</v>
      </c>
      <c r="R4" s="14" t="n">
        <v>220</v>
      </c>
      <c r="S4" s="14" t="n">
        <v>0</v>
      </c>
      <c r="T4" s="14" t="n">
        <v>0</v>
      </c>
      <c r="U4" s="15" t="n">
        <v>0.0731</v>
      </c>
      <c r="V4" s="14" t="inlineStr"/>
    </row>
    <row r="5">
      <c r="A5" s="14" t="inlineStr">
        <is>
          <t>fit500000_mcs2500_ms5_eom</t>
        </is>
      </c>
      <c r="B5" s="14" t="n">
        <v>88</v>
      </c>
      <c r="C5" s="15" t="n">
        <v>0.123512</v>
      </c>
      <c r="D5" s="14" t="n">
        <v>438244</v>
      </c>
      <c r="E5" s="15" t="n">
        <v>0.8199205669233136</v>
      </c>
      <c r="F5" s="14" t="n">
        <v>1</v>
      </c>
      <c r="G5" s="15" t="n">
        <v>0.3162277936935425</v>
      </c>
      <c r="H5" s="14" t="n">
        <v>1</v>
      </c>
      <c r="I5" s="15" t="n">
        <v>0.8128097589470705</v>
      </c>
      <c r="J5" s="15" t="n">
        <v>0.7042127216801599</v>
      </c>
      <c r="K5" s="15" t="n">
        <v>0.2148542429759717</v>
      </c>
      <c r="L5" s="15" t="n">
        <v>0.1948618069291115</v>
      </c>
      <c r="M5" s="15" t="n">
        <v>0.003505319124087691</v>
      </c>
      <c r="N5" s="15" t="n">
        <v>0.9374998211860657</v>
      </c>
      <c r="O5" s="15" t="n">
        <v>18.90717338188551</v>
      </c>
      <c r="P5" s="15" t="n">
        <v>0.4663005600758163</v>
      </c>
      <c r="Q5" s="14" t="n">
        <v>21808</v>
      </c>
      <c r="R5" s="14" t="n">
        <v>88</v>
      </c>
      <c r="S5" s="14" t="n">
        <v>0</v>
      </c>
      <c r="T5" s="14" t="n">
        <v>0</v>
      </c>
      <c r="U5" s="15" t="n">
        <v>0.1277</v>
      </c>
      <c r="V5" s="14" t="inlineStr"/>
    </row>
    <row r="6">
      <c r="A6" s="14" t="inlineStr">
        <is>
          <t>fit500000_mcs250_ms15_eom</t>
        </is>
      </c>
      <c r="B6" s="14" t="n">
        <v>518</v>
      </c>
      <c r="C6" s="15" t="n">
        <v>0.09692000000000001</v>
      </c>
      <c r="D6" s="14" t="n">
        <v>451540</v>
      </c>
      <c r="E6" s="15" t="n">
        <v>0.7590633978850845</v>
      </c>
      <c r="F6" s="14" t="n">
        <v>1</v>
      </c>
      <c r="G6" s="15" t="n">
        <v>0.2144225090742111</v>
      </c>
      <c r="H6" s="14" t="n">
        <v>1</v>
      </c>
      <c r="I6" s="15" t="n">
        <v>0.7808765557868628</v>
      </c>
      <c r="J6" s="15" t="n">
        <v>0.6068299596934934</v>
      </c>
      <c r="K6" s="14" t="n">
        <v>1</v>
      </c>
      <c r="L6" s="14" t="n">
        <v>1</v>
      </c>
      <c r="M6" s="14" t="n">
        <v>1</v>
      </c>
      <c r="N6" s="14" t="n">
        <v>1</v>
      </c>
      <c r="O6" s="14" t="n">
        <v>518</v>
      </c>
      <c r="P6" s="14" t="inlineStr"/>
      <c r="Q6" s="14" t="inlineStr"/>
      <c r="R6" s="14" t="inlineStr"/>
      <c r="S6" s="14" t="inlineStr"/>
      <c r="T6" s="14" t="inlineStr"/>
      <c r="U6" s="14" t="inlineStr"/>
      <c r="V6" s="14" t="inlineStr">
        <is>
          <t>518 clusters exceeds max_clusters=500</t>
        </is>
      </c>
    </row>
    <row r="7">
      <c r="A7" s="14" t="inlineStr">
        <is>
          <t>fit500000_mcs500_ms15_eom</t>
        </is>
      </c>
      <c r="B7" s="14" t="n">
        <v>348</v>
      </c>
      <c r="C7" s="15" t="n">
        <v>0.07722999999999999</v>
      </c>
      <c r="D7" s="14" t="n">
        <v>461385</v>
      </c>
      <c r="E7" s="15" t="n">
        <v>0.7923728404721003</v>
      </c>
      <c r="F7" s="14" t="n">
        <v>1</v>
      </c>
      <c r="G7" s="15" t="n">
        <v>0.304136818647385</v>
      </c>
      <c r="H7" s="14" t="n">
        <v>1</v>
      </c>
      <c r="I7" s="15" t="n">
        <v>0.8102105616784248</v>
      </c>
      <c r="J7" s="15" t="n">
        <v>0.64978705419552</v>
      </c>
      <c r="K7" s="14" t="n">
        <v>1</v>
      </c>
      <c r="L7" s="14" t="n">
        <v>1</v>
      </c>
      <c r="M7" s="14" t="n">
        <v>1</v>
      </c>
      <c r="N7" s="14" t="n">
        <v>1</v>
      </c>
      <c r="O7" s="14" t="n">
        <v>348</v>
      </c>
      <c r="P7" s="15" t="n">
        <v>0.4637210123011424</v>
      </c>
      <c r="Q7" s="14" t="n">
        <v>23065</v>
      </c>
      <c r="R7" s="14" t="n">
        <v>348</v>
      </c>
      <c r="S7" s="14" t="n">
        <v>0</v>
      </c>
      <c r="T7" s="14" t="n">
        <v>0</v>
      </c>
      <c r="U7" s="15" t="n">
        <v>0.0774</v>
      </c>
      <c r="V7" s="14" t="inlineStr"/>
    </row>
    <row r="8">
      <c r="A8" s="14" t="inlineStr">
        <is>
          <t>fit500000_mcs1000_ms15_eom</t>
        </is>
      </c>
      <c r="B8" s="14" t="n">
        <v>215</v>
      </c>
      <c r="C8" s="15" t="n">
        <v>0.064316</v>
      </c>
      <c r="D8" s="14" t="n">
        <v>467842</v>
      </c>
      <c r="E8" s="15" t="n">
        <v>0.8271471021300055</v>
      </c>
      <c r="F8" s="14" t="n">
        <v>1</v>
      </c>
      <c r="G8" s="15" t="n">
        <v>0.3333333432674408</v>
      </c>
      <c r="H8" s="14" t="n">
        <v>1</v>
      </c>
      <c r="I8" s="15" t="n">
        <v>0.835211460279325</v>
      </c>
      <c r="J8" s="15" t="n">
        <v>0.7026047255269942</v>
      </c>
      <c r="K8" s="14" t="n">
        <v>1</v>
      </c>
      <c r="L8" s="14" t="n">
        <v>1</v>
      </c>
      <c r="M8" s="14" t="n">
        <v>1</v>
      </c>
      <c r="N8" s="14" t="n">
        <v>1</v>
      </c>
      <c r="O8" s="14" t="n">
        <v>215</v>
      </c>
      <c r="P8" s="15" t="n">
        <v>0.4848066685625286</v>
      </c>
      <c r="Q8" s="14" t="n">
        <v>23458</v>
      </c>
      <c r="R8" s="14" t="n">
        <v>215</v>
      </c>
      <c r="S8" s="14" t="n">
        <v>0</v>
      </c>
      <c r="T8" s="14" t="n">
        <v>0</v>
      </c>
      <c r="U8" s="15" t="n">
        <v>0.0617</v>
      </c>
      <c r="V8" s="14" t="inlineStr"/>
    </row>
    <row r="9">
      <c r="A9" s="14" t="inlineStr">
        <is>
          <t>fit500000_mcs2500_ms15_eom</t>
        </is>
      </c>
      <c r="B9" s="14" t="n">
        <v>89</v>
      </c>
      <c r="C9" s="15" t="n">
        <v>0.072362</v>
      </c>
      <c r="D9" s="14" t="n">
        <v>463819</v>
      </c>
      <c r="E9" s="15" t="n">
        <v>0.8448959265746215</v>
      </c>
      <c r="F9" s="14" t="n">
        <v>1</v>
      </c>
      <c r="G9" s="15" t="n">
        <v>0.3450327813625336</v>
      </c>
      <c r="H9" s="14" t="n">
        <v>1</v>
      </c>
      <c r="I9" s="15" t="n">
        <v>0.8407439108790282</v>
      </c>
      <c r="J9" s="15" t="n">
        <v>0.7352415489662993</v>
      </c>
      <c r="K9" s="15" t="n">
        <v>0.2252059307974878</v>
      </c>
      <c r="L9" s="15" t="n">
        <v>0.2003565281629562</v>
      </c>
      <c r="M9" s="15" t="n">
        <v>0.01036294642835855</v>
      </c>
      <c r="N9" s="15" t="n">
        <v>0.9256196618080139</v>
      </c>
      <c r="O9" s="15" t="n">
        <v>20.04332784097642</v>
      </c>
      <c r="P9" s="15" t="n">
        <v>0.4428382989208058</v>
      </c>
      <c r="Q9" s="14" t="n">
        <v>23159</v>
      </c>
      <c r="R9" s="14" t="n">
        <v>89</v>
      </c>
      <c r="S9" s="14" t="n">
        <v>0</v>
      </c>
      <c r="T9" s="14" t="n">
        <v>0</v>
      </c>
      <c r="U9" s="15" t="n">
        <v>0.0736</v>
      </c>
      <c r="V9" s="14" t="inlineStr"/>
    </row>
    <row r="10">
      <c r="A10" s="14" t="inlineStr">
        <is>
          <t>fit1000000_mcs250_ms5_eom</t>
        </is>
      </c>
      <c r="B10" s="14" t="n">
        <v>814</v>
      </c>
      <c r="C10" s="15" t="n">
        <v>0.126077</v>
      </c>
      <c r="D10" s="14" t="n">
        <v>873923</v>
      </c>
      <c r="E10" s="15" t="n">
        <v>0.750091141519572</v>
      </c>
      <c r="F10" s="14" t="n">
        <v>1</v>
      </c>
      <c r="G10" s="15" t="n">
        <v>1.880791185523414e-37</v>
      </c>
      <c r="H10" s="14" t="n">
        <v>1</v>
      </c>
      <c r="I10" s="15" t="n">
        <v>0.7646440247024051</v>
      </c>
      <c r="J10" s="15" t="n">
        <v>0.6965064427872936</v>
      </c>
      <c r="K10" s="14" t="n">
        <v>1</v>
      </c>
      <c r="L10" s="14" t="n">
        <v>1</v>
      </c>
      <c r="M10" s="14" t="n">
        <v>1</v>
      </c>
      <c r="N10" s="14" t="n">
        <v>1</v>
      </c>
      <c r="O10" s="14" t="n">
        <v>814</v>
      </c>
      <c r="P10" s="14" t="inlineStr"/>
      <c r="Q10" s="14" t="inlineStr"/>
      <c r="R10" s="14" t="inlineStr"/>
      <c r="S10" s="14" t="inlineStr"/>
      <c r="T10" s="14" t="inlineStr"/>
      <c r="U10" s="14" t="inlineStr"/>
      <c r="V10" s="14" t="inlineStr">
        <is>
          <t>814 clusters exceeds max_clusters=500</t>
        </is>
      </c>
    </row>
    <row r="11">
      <c r="A11" s="14" t="inlineStr">
        <is>
          <t>fit1000000_mcs500_ms5_eom</t>
        </is>
      </c>
      <c r="B11" s="14" t="n">
        <v>584</v>
      </c>
      <c r="C11" s="15" t="n">
        <v>0.10295</v>
      </c>
      <c r="D11" s="14" t="n">
        <v>897050</v>
      </c>
      <c r="E11" s="15" t="n">
        <v>0.7436407524058435</v>
      </c>
      <c r="F11" s="14" t="n">
        <v>1</v>
      </c>
      <c r="G11" s="15" t="n">
        <v>1.880791185523414e-37</v>
      </c>
      <c r="H11" s="14" t="n">
        <v>1</v>
      </c>
      <c r="I11" s="15" t="n">
        <v>0.7534652471991528</v>
      </c>
      <c r="J11" s="15" t="n">
        <v>0.681772476450588</v>
      </c>
      <c r="K11" s="14" t="n">
        <v>1</v>
      </c>
      <c r="L11" s="14" t="n">
        <v>1</v>
      </c>
      <c r="M11" s="14" t="n">
        <v>1</v>
      </c>
      <c r="N11" s="14" t="n">
        <v>1</v>
      </c>
      <c r="O11" s="14" t="n">
        <v>584</v>
      </c>
      <c r="P11" s="14" t="inlineStr"/>
      <c r="Q11" s="14" t="inlineStr"/>
      <c r="R11" s="14" t="inlineStr"/>
      <c r="S11" s="14" t="inlineStr"/>
      <c r="T11" s="14" t="inlineStr"/>
      <c r="U11" s="14" t="inlineStr"/>
      <c r="V11" s="14" t="inlineStr">
        <is>
          <t>584 clusters exceeds max_clusters=500</t>
        </is>
      </c>
    </row>
    <row r="12">
      <c r="A12" s="14" t="inlineStr">
        <is>
          <t>fit1000000_mcs1000_ms5_eom</t>
        </is>
      </c>
      <c r="B12" s="14" t="n">
        <v>375</v>
      </c>
      <c r="C12" s="15" t="n">
        <v>0.09249400000000001</v>
      </c>
      <c r="D12" s="14" t="n">
        <v>907506</v>
      </c>
      <c r="E12" s="15" t="n">
        <v>0.7867804759287639</v>
      </c>
      <c r="F12" s="14" t="n">
        <v>1</v>
      </c>
      <c r="G12" s="15" t="n">
        <v>2.659840264167868e-37</v>
      </c>
      <c r="H12" s="14" t="n">
        <v>1</v>
      </c>
      <c r="I12" s="15" t="n">
        <v>0.7942856576154869</v>
      </c>
      <c r="J12" s="15" t="n">
        <v>0.6990554332423147</v>
      </c>
      <c r="K12" s="14" t="n">
        <v>1</v>
      </c>
      <c r="L12" s="14" t="n">
        <v>1</v>
      </c>
      <c r="M12" s="14" t="n">
        <v>1</v>
      </c>
      <c r="N12" s="14" t="n">
        <v>1</v>
      </c>
      <c r="O12" s="14" t="n">
        <v>375</v>
      </c>
      <c r="P12" s="15" t="n">
        <v>0.4147930910054567</v>
      </c>
      <c r="Q12" s="14" t="n">
        <v>22644</v>
      </c>
      <c r="R12" s="14" t="n">
        <v>375</v>
      </c>
      <c r="S12" s="14" t="n">
        <v>0</v>
      </c>
      <c r="T12" s="14" t="n">
        <v>0</v>
      </c>
      <c r="U12" s="15" t="n">
        <v>0.09420000000000001</v>
      </c>
      <c r="V12" s="14" t="inlineStr"/>
    </row>
    <row r="13">
      <c r="A13" s="14" t="inlineStr">
        <is>
          <t>fit1000000_mcs2500_ms5_eom</t>
        </is>
      </c>
      <c r="B13" s="14" t="n">
        <v>176</v>
      </c>
      <c r="C13" s="15" t="n">
        <v>0.079972</v>
      </c>
      <c r="D13" s="14" t="n">
        <v>920028</v>
      </c>
      <c r="E13" s="15" t="n">
        <v>0.8164795904004851</v>
      </c>
      <c r="F13" s="14" t="n">
        <v>1</v>
      </c>
      <c r="G13" s="15" t="n">
        <v>0.267261266708374</v>
      </c>
      <c r="H13" s="14" t="n">
        <v>1</v>
      </c>
      <c r="I13" s="15" t="n">
        <v>0.8228988682953128</v>
      </c>
      <c r="J13" s="15" t="n">
        <v>0.7224736638450134</v>
      </c>
      <c r="K13" s="14" t="n">
        <v>1</v>
      </c>
      <c r="L13" s="14" t="n">
        <v>1</v>
      </c>
      <c r="M13" s="14" t="n">
        <v>1</v>
      </c>
      <c r="N13" s="14" t="n">
        <v>1</v>
      </c>
      <c r="O13" s="14" t="n">
        <v>176</v>
      </c>
      <c r="P13" s="15" t="n">
        <v>0.4476687631966826</v>
      </c>
      <c r="Q13" s="14" t="n">
        <v>23015</v>
      </c>
      <c r="R13" s="14" t="n">
        <v>176</v>
      </c>
      <c r="S13" s="14" t="n">
        <v>0</v>
      </c>
      <c r="T13" s="14" t="n">
        <v>0</v>
      </c>
      <c r="U13" s="15" t="n">
        <v>0.0794</v>
      </c>
      <c r="V13" s="14" t="inlineStr"/>
    </row>
    <row r="14">
      <c r="A14" s="14" t="inlineStr">
        <is>
          <t>fit1000000_mcs250_ms15_eom</t>
        </is>
      </c>
      <c r="B14" s="14" t="n">
        <v>735</v>
      </c>
      <c r="C14" s="15" t="n">
        <v>0.132168</v>
      </c>
      <c r="D14" s="14" t="n">
        <v>867832</v>
      </c>
      <c r="E14" s="15" t="n">
        <v>0.7240081410003374</v>
      </c>
      <c r="F14" s="14" t="n">
        <v>1</v>
      </c>
      <c r="G14" s="15" t="n">
        <v>1.880791185523414e-37</v>
      </c>
      <c r="H14" s="14" t="n">
        <v>1</v>
      </c>
      <c r="I14" s="15" t="n">
        <v>0.7492648346684612</v>
      </c>
      <c r="J14" s="15" t="n">
        <v>0.6083573779256815</v>
      </c>
      <c r="K14" s="14" t="n">
        <v>1</v>
      </c>
      <c r="L14" s="14" t="n">
        <v>1</v>
      </c>
      <c r="M14" s="14" t="n">
        <v>1</v>
      </c>
      <c r="N14" s="14" t="n">
        <v>1</v>
      </c>
      <c r="O14" s="14" t="n">
        <v>735</v>
      </c>
      <c r="P14" s="14" t="inlineStr"/>
      <c r="Q14" s="14" t="inlineStr"/>
      <c r="R14" s="14" t="inlineStr"/>
      <c r="S14" s="14" t="inlineStr"/>
      <c r="T14" s="14" t="inlineStr"/>
      <c r="U14" s="14" t="inlineStr"/>
      <c r="V14" s="14" t="inlineStr">
        <is>
          <t>735 clusters exceeds max_clusters=500</t>
        </is>
      </c>
    </row>
    <row r="15">
      <c r="A15" s="14" t="inlineStr">
        <is>
          <t>fit1000000_mcs500_ms15_eom</t>
        </is>
      </c>
      <c r="B15" s="14" t="n">
        <v>534</v>
      </c>
      <c r="C15" s="15" t="n">
        <v>0.098594</v>
      </c>
      <c r="D15" s="14" t="n">
        <v>901406</v>
      </c>
      <c r="E15" s="15" t="n">
        <v>0.7363463008499256</v>
      </c>
      <c r="F15" s="14" t="n">
        <v>1</v>
      </c>
      <c r="G15" s="15" t="n">
        <v>1.880791185523414e-37</v>
      </c>
      <c r="H15" s="14" t="n">
        <v>1</v>
      </c>
      <c r="I15" s="15" t="n">
        <v>0.7534196577346944</v>
      </c>
      <c r="J15" s="15" t="n">
        <v>0.6126584469151526</v>
      </c>
      <c r="K15" s="14" t="n">
        <v>1</v>
      </c>
      <c r="L15" s="14" t="n">
        <v>1</v>
      </c>
      <c r="M15" s="14" t="n">
        <v>1</v>
      </c>
      <c r="N15" s="14" t="n">
        <v>1</v>
      </c>
      <c r="O15" s="14" t="n">
        <v>534</v>
      </c>
      <c r="P15" s="14" t="inlineStr"/>
      <c r="Q15" s="14" t="inlineStr"/>
      <c r="R15" s="14" t="inlineStr"/>
      <c r="S15" s="14" t="inlineStr"/>
      <c r="T15" s="14" t="inlineStr"/>
      <c r="U15" s="14" t="inlineStr"/>
      <c r="V15" s="14" t="inlineStr">
        <is>
          <t>534 clusters exceeds max_clusters=500</t>
        </is>
      </c>
    </row>
    <row r="16">
      <c r="A16" s="14" t="inlineStr">
        <is>
          <t>fit1000000_mcs1000_ms15_eom</t>
        </is>
      </c>
      <c r="B16" s="14" t="n">
        <v>357</v>
      </c>
      <c r="C16" s="15" t="n">
        <v>0.078205</v>
      </c>
      <c r="D16" s="14" t="n">
        <v>921795</v>
      </c>
      <c r="E16" s="15" t="n">
        <v>0.7853521733962677</v>
      </c>
      <c r="F16" s="14" t="n">
        <v>1</v>
      </c>
      <c r="G16" s="15" t="n">
        <v>0.2294157296419144</v>
      </c>
      <c r="H16" s="14" t="n">
        <v>1</v>
      </c>
      <c r="I16" s="15" t="n">
        <v>0.8031970231993013</v>
      </c>
      <c r="J16" s="15" t="n">
        <v>0.6614399080055761</v>
      </c>
      <c r="K16" s="14" t="n">
        <v>1</v>
      </c>
      <c r="L16" s="14" t="n">
        <v>1</v>
      </c>
      <c r="M16" s="14" t="n">
        <v>1</v>
      </c>
      <c r="N16" s="14" t="n">
        <v>1</v>
      </c>
      <c r="O16" s="14" t="n">
        <v>357</v>
      </c>
      <c r="P16" s="15" t="n">
        <v>0.4509567653001738</v>
      </c>
      <c r="Q16" s="14" t="n">
        <v>23069</v>
      </c>
      <c r="R16" s="14" t="n">
        <v>357</v>
      </c>
      <c r="S16" s="14" t="n">
        <v>0</v>
      </c>
      <c r="T16" s="14" t="n">
        <v>0</v>
      </c>
      <c r="U16" s="15" t="n">
        <v>0.0772</v>
      </c>
      <c r="V16" s="14" t="inlineStr"/>
    </row>
    <row r="17">
      <c r="A17" s="14" t="inlineStr">
        <is>
          <t>fit1000000_mcs2500_ms15_eom</t>
        </is>
      </c>
      <c r="B17" s="14" t="n">
        <v>175</v>
      </c>
      <c r="C17" s="15" t="n">
        <v>0.07237499999999999</v>
      </c>
      <c r="D17" s="14" t="n">
        <v>927625</v>
      </c>
      <c r="E17" s="15" t="n">
        <v>0.8283856027977813</v>
      </c>
      <c r="F17" s="14" t="n">
        <v>1</v>
      </c>
      <c r="G17" s="15" t="n">
        <v>0.3162277638912201</v>
      </c>
      <c r="H17" s="14" t="n">
        <v>1</v>
      </c>
      <c r="I17" s="15" t="n">
        <v>0.8285611103624848</v>
      </c>
      <c r="J17" s="15" t="n">
        <v>0.7216418272470018</v>
      </c>
      <c r="K17" s="14" t="n">
        <v>1</v>
      </c>
      <c r="L17" s="14" t="n">
        <v>1</v>
      </c>
      <c r="M17" s="14" t="n">
        <v>1</v>
      </c>
      <c r="N17" s="14" t="n">
        <v>1</v>
      </c>
      <c r="O17" s="14" t="n">
        <v>175</v>
      </c>
      <c r="P17" s="15" t="n">
        <v>0.4526676847080827</v>
      </c>
      <c r="Q17" s="14" t="n">
        <v>23216</v>
      </c>
      <c r="R17" s="14" t="n">
        <v>175</v>
      </c>
      <c r="S17" s="14" t="n">
        <v>0</v>
      </c>
      <c r="T17" s="14" t="n">
        <v>0</v>
      </c>
      <c r="U17" s="15" t="n">
        <v>0.07140000000000001</v>
      </c>
      <c r="V17" s="14" t="inlineStr"/>
    </row>
    <row r="18">
      <c r="A18" s="14" t="inlineStr">
        <is>
          <t>fit5000000_mcs250_ms5_eom</t>
        </is>
      </c>
      <c r="B18" s="14" t="n">
        <v>1096</v>
      </c>
      <c r="C18" s="15" t="n">
        <v>0.0793822</v>
      </c>
      <c r="D18" s="14" t="n">
        <v>4603089</v>
      </c>
      <c r="E18" s="15" t="n">
        <v>0.8624853821398337</v>
      </c>
      <c r="F18" s="14" t="n">
        <v>1</v>
      </c>
      <c r="G18" s="15" t="n">
        <v>3.761582371046829e-37</v>
      </c>
      <c r="H18" s="14" t="n">
        <v>1</v>
      </c>
      <c r="I18" s="15" t="n">
        <v>0.8652278937035542</v>
      </c>
      <c r="J18" s="15" t="n">
        <v>0.8531373171363839</v>
      </c>
      <c r="K18" s="14" t="n">
        <v>1</v>
      </c>
      <c r="L18" s="14" t="n">
        <v>1</v>
      </c>
      <c r="M18" s="14" t="n">
        <v>1</v>
      </c>
      <c r="N18" s="14" t="n">
        <v>1</v>
      </c>
      <c r="O18" s="14" t="n">
        <v>1096</v>
      </c>
      <c r="P18" s="14" t="inlineStr"/>
      <c r="Q18" s="14" t="inlineStr"/>
      <c r="R18" s="14" t="inlineStr"/>
      <c r="S18" s="14" t="inlineStr"/>
      <c r="T18" s="14" t="inlineStr"/>
      <c r="U18" s="14" t="inlineStr"/>
      <c r="V18" s="14" t="inlineStr">
        <is>
          <t>1096 clusters exceeds max_clusters=500</t>
        </is>
      </c>
    </row>
    <row r="19">
      <c r="A19" s="14" t="inlineStr">
        <is>
          <t>fit5000000_mcs500_ms5_eom</t>
        </is>
      </c>
      <c r="B19" s="14" t="n">
        <v>856</v>
      </c>
      <c r="C19" s="15" t="n">
        <v>0.0744568</v>
      </c>
      <c r="D19" s="14" t="n">
        <v>4627716</v>
      </c>
      <c r="E19" s="15" t="n">
        <v>0.8554342595469796</v>
      </c>
      <c r="F19" s="14" t="n">
        <v>1</v>
      </c>
      <c r="G19" s="15" t="n">
        <v>3.761582371046829e-37</v>
      </c>
      <c r="H19" s="14" t="n">
        <v>1</v>
      </c>
      <c r="I19" s="15" t="n">
        <v>0.8584746773570374</v>
      </c>
      <c r="J19" s="15" t="n">
        <v>0.8450743304040266</v>
      </c>
      <c r="K19" s="14" t="n">
        <v>1</v>
      </c>
      <c r="L19" s="14" t="n">
        <v>1</v>
      </c>
      <c r="M19" s="14" t="n">
        <v>1</v>
      </c>
      <c r="N19" s="14" t="n">
        <v>1</v>
      </c>
      <c r="O19" s="14" t="n">
        <v>856</v>
      </c>
      <c r="P19" s="14" t="inlineStr"/>
      <c r="Q19" s="14" t="inlineStr"/>
      <c r="R19" s="14" t="inlineStr"/>
      <c r="S19" s="14" t="inlineStr"/>
      <c r="T19" s="14" t="inlineStr"/>
      <c r="U19" s="14" t="inlineStr"/>
      <c r="V19" s="14" t="inlineStr">
        <is>
          <t>856 clusters exceeds max_clusters=500</t>
        </is>
      </c>
    </row>
    <row r="20">
      <c r="A20" s="14" t="inlineStr">
        <is>
          <t>fit5000000_mcs1000_ms5_eom</t>
        </is>
      </c>
      <c r="B20" s="14" t="n">
        <v>692</v>
      </c>
      <c r="C20" s="15" t="n">
        <v>0.0671556</v>
      </c>
      <c r="D20" s="14" t="n">
        <v>4664222</v>
      </c>
      <c r="E20" s="15" t="n">
        <v>0.8424501972164604</v>
      </c>
      <c r="F20" s="14" t="n">
        <v>1</v>
      </c>
      <c r="G20" s="15" t="n">
        <v>3.761582371046829e-37</v>
      </c>
      <c r="H20" s="14" t="n">
        <v>1</v>
      </c>
      <c r="I20" s="15" t="n">
        <v>0.8450326764034817</v>
      </c>
      <c r="J20" s="15" t="n">
        <v>0.8328651595057011</v>
      </c>
      <c r="K20" s="14" t="n">
        <v>1</v>
      </c>
      <c r="L20" s="14" t="n">
        <v>1</v>
      </c>
      <c r="M20" s="14" t="n">
        <v>1</v>
      </c>
      <c r="N20" s="14" t="n">
        <v>1</v>
      </c>
      <c r="O20" s="14" t="n">
        <v>692</v>
      </c>
      <c r="P20" s="14" t="inlineStr"/>
      <c r="Q20" s="14" t="inlineStr"/>
      <c r="R20" s="14" t="inlineStr"/>
      <c r="S20" s="14" t="inlineStr"/>
      <c r="T20" s="14" t="inlineStr"/>
      <c r="U20" s="14" t="inlineStr"/>
      <c r="V20" s="14" t="inlineStr">
        <is>
          <t>692 clusters exceeds max_clusters=500</t>
        </is>
      </c>
    </row>
    <row r="21">
      <c r="A21" s="14" t="inlineStr">
        <is>
          <t>fit5000000_mcs2500_ms5_eom</t>
        </is>
      </c>
      <c r="B21" s="14" t="n">
        <v>513</v>
      </c>
      <c r="C21" s="15" t="n">
        <v>0.0654584</v>
      </c>
      <c r="D21" s="14" t="n">
        <v>4672708</v>
      </c>
      <c r="E21" s="15" t="n">
        <v>0.8387598926329939</v>
      </c>
      <c r="F21" s="14" t="n">
        <v>1</v>
      </c>
      <c r="G21" s="15" t="n">
        <v>2.659840264167868e-37</v>
      </c>
      <c r="H21" s="14" t="n">
        <v>1</v>
      </c>
      <c r="I21" s="15" t="n">
        <v>0.8419687256297633</v>
      </c>
      <c r="J21" s="15" t="n">
        <v>0.8261106835693564</v>
      </c>
      <c r="K21" s="14" t="n">
        <v>1</v>
      </c>
      <c r="L21" s="14" t="n">
        <v>1</v>
      </c>
      <c r="M21" s="14" t="n">
        <v>1</v>
      </c>
      <c r="N21" s="14" t="n">
        <v>1</v>
      </c>
      <c r="O21" s="14" t="n">
        <v>513</v>
      </c>
      <c r="P21" s="14" t="inlineStr"/>
      <c r="Q21" s="14" t="inlineStr"/>
      <c r="R21" s="14" t="inlineStr"/>
      <c r="S21" s="14" t="inlineStr"/>
      <c r="T21" s="14" t="inlineStr"/>
      <c r="U21" s="14" t="inlineStr"/>
      <c r="V21" s="14" t="inlineStr">
        <is>
          <t>513 clusters exceeds max_clusters=500</t>
        </is>
      </c>
    </row>
    <row r="22">
      <c r="A22" s="14" t="inlineStr">
        <is>
          <t>fit5000000_mcs250_ms15_eom</t>
        </is>
      </c>
      <c r="B22" s="14" t="n">
        <v>1330</v>
      </c>
      <c r="C22" s="15" t="n">
        <v>0.140404</v>
      </c>
      <c r="D22" s="14" t="n">
        <v>4297980</v>
      </c>
      <c r="E22" s="15" t="n">
        <v>0.7679570828001695</v>
      </c>
      <c r="F22" s="14" t="n">
        <v>1</v>
      </c>
      <c r="G22" s="15" t="n">
        <v>2.659840264167868e-37</v>
      </c>
      <c r="H22" s="14" t="n">
        <v>1</v>
      </c>
      <c r="I22" s="15" t="n">
        <v>0.7755722455665219</v>
      </c>
      <c r="J22" s="15" t="n">
        <v>0.7420923317465414</v>
      </c>
      <c r="K22" s="14" t="n">
        <v>1</v>
      </c>
      <c r="L22" s="14" t="n">
        <v>1</v>
      </c>
      <c r="M22" s="14" t="n">
        <v>1</v>
      </c>
      <c r="N22" s="14" t="n">
        <v>1</v>
      </c>
      <c r="O22" s="14" t="n">
        <v>1330</v>
      </c>
      <c r="P22" s="14" t="inlineStr"/>
      <c r="Q22" s="14" t="inlineStr"/>
      <c r="R22" s="14" t="inlineStr"/>
      <c r="S22" s="14" t="inlineStr"/>
      <c r="T22" s="14" t="inlineStr"/>
      <c r="U22" s="14" t="inlineStr"/>
      <c r="V22" s="14" t="inlineStr">
        <is>
          <t>1330 clusters exceeds max_clusters=500</t>
        </is>
      </c>
    </row>
    <row r="23">
      <c r="A23" s="14" t="inlineStr">
        <is>
          <t>fit5000000_mcs500_ms15_eom</t>
        </is>
      </c>
      <c r="B23" s="14" t="n">
        <v>1008</v>
      </c>
      <c r="C23" s="15" t="n">
        <v>0.1270192</v>
      </c>
      <c r="D23" s="14" t="n">
        <v>4364904</v>
      </c>
      <c r="E23" s="15" t="n">
        <v>0.7618706993947411</v>
      </c>
      <c r="F23" s="14" t="n">
        <v>1</v>
      </c>
      <c r="G23" s="15" t="n">
        <v>2.659840264167868e-37</v>
      </c>
      <c r="H23" s="14" t="n">
        <v>1</v>
      </c>
      <c r="I23" s="15" t="n">
        <v>0.7704625348003071</v>
      </c>
      <c r="J23" s="15" t="n">
        <v>0.7313514798950905</v>
      </c>
      <c r="K23" s="14" t="n">
        <v>1</v>
      </c>
      <c r="L23" s="14" t="n">
        <v>1</v>
      </c>
      <c r="M23" s="14" t="n">
        <v>1</v>
      </c>
      <c r="N23" s="14" t="n">
        <v>1</v>
      </c>
      <c r="O23" s="14" t="n">
        <v>1008</v>
      </c>
      <c r="P23" s="14" t="inlineStr"/>
      <c r="Q23" s="14" t="inlineStr"/>
      <c r="R23" s="14" t="inlineStr"/>
      <c r="S23" s="14" t="inlineStr"/>
      <c r="T23" s="14" t="inlineStr"/>
      <c r="U23" s="14" t="inlineStr"/>
      <c r="V23" s="14" t="inlineStr">
        <is>
          <t>1008 clusters exceeds max_clusters=500</t>
        </is>
      </c>
    </row>
    <row r="24">
      <c r="A24" s="14" t="inlineStr">
        <is>
          <t>fit5000000_mcs1000_ms15_eom</t>
        </is>
      </c>
      <c r="B24" s="14" t="n">
        <v>784</v>
      </c>
      <c r="C24" s="15" t="n">
        <v>0.1110422</v>
      </c>
      <c r="D24" s="14" t="n">
        <v>4444789</v>
      </c>
      <c r="E24" s="15" t="n">
        <v>0.7591312310033806</v>
      </c>
      <c r="F24" s="14" t="n">
        <v>1</v>
      </c>
      <c r="G24" s="15" t="n">
        <v>1.880791185523414e-37</v>
      </c>
      <c r="H24" s="14" t="n">
        <v>1</v>
      </c>
      <c r="I24" s="15" t="n">
        <v>0.7673417118337901</v>
      </c>
      <c r="J24" s="15" t="n">
        <v>0.7261703536433338</v>
      </c>
      <c r="K24" s="14" t="n">
        <v>1</v>
      </c>
      <c r="L24" s="14" t="n">
        <v>1</v>
      </c>
      <c r="M24" s="14" t="n">
        <v>1</v>
      </c>
      <c r="N24" s="14" t="n">
        <v>1</v>
      </c>
      <c r="O24" s="14" t="n">
        <v>784</v>
      </c>
      <c r="P24" s="14" t="inlineStr"/>
      <c r="Q24" s="14" t="inlineStr"/>
      <c r="R24" s="14" t="inlineStr"/>
      <c r="S24" s="14" t="inlineStr"/>
      <c r="T24" s="14" t="inlineStr"/>
      <c r="U24" s="14" t="inlineStr"/>
      <c r="V24" s="14" t="inlineStr">
        <is>
          <t>784 clusters exceeds max_clusters=500</t>
        </is>
      </c>
    </row>
    <row r="25">
      <c r="A25" s="14" t="inlineStr">
        <is>
          <t>fit5000000_mcs2500_ms15_eom</t>
        </is>
      </c>
      <c r="B25" s="14" t="n">
        <v>548</v>
      </c>
      <c r="C25" s="15" t="n">
        <v>0.093387</v>
      </c>
      <c r="D25" s="14" t="n">
        <v>4533065</v>
      </c>
      <c r="E25" s="15" t="n">
        <v>0.7711540391826198</v>
      </c>
      <c r="F25" s="14" t="n">
        <v>1</v>
      </c>
      <c r="G25" s="15" t="n">
        <v>1.880791185523414e-37</v>
      </c>
      <c r="H25" s="14" t="n">
        <v>1</v>
      </c>
      <c r="I25" s="15" t="n">
        <v>0.7776063215506506</v>
      </c>
      <c r="J25" s="15" t="n">
        <v>0.7319167053638101</v>
      </c>
      <c r="K25" s="14" t="n">
        <v>1</v>
      </c>
      <c r="L25" s="14" t="n">
        <v>1</v>
      </c>
      <c r="M25" s="14" t="n">
        <v>1</v>
      </c>
      <c r="N25" s="14" t="n">
        <v>1</v>
      </c>
      <c r="O25" s="14" t="n">
        <v>548</v>
      </c>
      <c r="P25" s="14" t="inlineStr"/>
      <c r="Q25" s="14" t="inlineStr"/>
      <c r="R25" s="14" t="inlineStr"/>
      <c r="S25" s="14" t="inlineStr"/>
      <c r="T25" s="14" t="inlineStr"/>
      <c r="U25" s="14" t="inlineStr"/>
      <c r="V25" s="14" t="inlineStr">
        <is>
          <t>548 clusters exceeds max_clusters=500</t>
        </is>
      </c>
    </row>
    <row r="26">
      <c r="A26" s="14" t="inlineStr">
        <is>
          <t>fit25000000_mcs250_ms5_eom</t>
        </is>
      </c>
      <c r="B26" s="14" t="n">
        <v>872</v>
      </c>
      <c r="C26" s="15" t="n">
        <v>0.02934468</v>
      </c>
      <c r="D26" s="14" t="n">
        <v>24266383</v>
      </c>
      <c r="E26" s="15" t="n">
        <v>0.9553379210528967</v>
      </c>
      <c r="F26" s="14" t="n">
        <v>1</v>
      </c>
      <c r="G26" s="14" t="n">
        <v>1</v>
      </c>
      <c r="H26" s="14" t="n">
        <v>1</v>
      </c>
      <c r="I26" s="15" t="n">
        <v>0.9555868297306608</v>
      </c>
      <c r="J26" s="15" t="n">
        <v>0.9547937572731792</v>
      </c>
      <c r="K26" s="14" t="n">
        <v>1</v>
      </c>
      <c r="L26" s="14" t="n">
        <v>1</v>
      </c>
      <c r="M26" s="14" t="n">
        <v>1</v>
      </c>
      <c r="N26" s="14" t="n">
        <v>1</v>
      </c>
      <c r="O26" s="14" t="n">
        <v>872</v>
      </c>
      <c r="P26" s="14" t="inlineStr"/>
      <c r="Q26" s="14" t="inlineStr"/>
      <c r="R26" s="14" t="inlineStr"/>
      <c r="S26" s="14" t="inlineStr"/>
      <c r="T26" s="14" t="inlineStr"/>
      <c r="U26" s="14" t="inlineStr"/>
      <c r="V26" s="14" t="inlineStr">
        <is>
          <t>872 clusters exceeds max_clusters=500</t>
        </is>
      </c>
    </row>
    <row r="27">
      <c r="A27" s="14" t="inlineStr">
        <is>
          <t>fit25000000_mcs500_ms5_eom</t>
        </is>
      </c>
      <c r="B27" s="14" t="n">
        <v>634</v>
      </c>
      <c r="C27" s="15" t="n">
        <v>0.0269108</v>
      </c>
      <c r="D27" s="14" t="n">
        <v>24327230</v>
      </c>
      <c r="E27" s="15" t="n">
        <v>0.9505055743404502</v>
      </c>
      <c r="F27" s="14" t="n">
        <v>1</v>
      </c>
      <c r="G27" s="14" t="n">
        <v>1</v>
      </c>
      <c r="H27" s="14" t="n">
        <v>1</v>
      </c>
      <c r="I27" s="15" t="n">
        <v>0.9506929066728929</v>
      </c>
      <c r="J27" s="15" t="n">
        <v>0.9499209733290638</v>
      </c>
      <c r="K27" s="14" t="n">
        <v>1</v>
      </c>
      <c r="L27" s="14" t="n">
        <v>1</v>
      </c>
      <c r="M27" s="14" t="n">
        <v>1</v>
      </c>
      <c r="N27" s="14" t="n">
        <v>1</v>
      </c>
      <c r="O27" s="14" t="n">
        <v>634</v>
      </c>
      <c r="P27" s="14" t="inlineStr"/>
      <c r="Q27" s="14" t="inlineStr"/>
      <c r="R27" s="14" t="inlineStr"/>
      <c r="S27" s="14" t="inlineStr"/>
      <c r="T27" s="14" t="inlineStr"/>
      <c r="U27" s="14" t="inlineStr"/>
      <c r="V27" s="14" t="inlineStr">
        <is>
          <t>634 clusters exceeds max_clusters=500</t>
        </is>
      </c>
    </row>
    <row r="28">
      <c r="A28" s="14" t="inlineStr">
        <is>
          <t>fit25000000_mcs1000_ms5_eom</t>
        </is>
      </c>
      <c r="B28" s="14" t="n">
        <v>517</v>
      </c>
      <c r="C28" s="15" t="n">
        <v>0.02524664</v>
      </c>
      <c r="D28" s="14" t="n">
        <v>24368834</v>
      </c>
      <c r="E28" s="15" t="n">
        <v>0.9480772650123501</v>
      </c>
      <c r="F28" s="14" t="n">
        <v>1</v>
      </c>
      <c r="G28" s="14" t="n">
        <v>1</v>
      </c>
      <c r="H28" s="14" t="n">
        <v>1</v>
      </c>
      <c r="I28" s="15" t="n">
        <v>0.9482850513077482</v>
      </c>
      <c r="J28" s="15" t="n">
        <v>0.947220494833688</v>
      </c>
      <c r="K28" s="14" t="n">
        <v>1</v>
      </c>
      <c r="L28" s="14" t="n">
        <v>1</v>
      </c>
      <c r="M28" s="14" t="n">
        <v>1</v>
      </c>
      <c r="N28" s="14" t="n">
        <v>1</v>
      </c>
      <c r="O28" s="14" t="n">
        <v>517</v>
      </c>
      <c r="P28" s="14" t="inlineStr"/>
      <c r="Q28" s="14" t="inlineStr"/>
      <c r="R28" s="14" t="inlineStr"/>
      <c r="S28" s="14" t="inlineStr"/>
      <c r="T28" s="14" t="inlineStr"/>
      <c r="U28" s="14" t="inlineStr"/>
      <c r="V28" s="14" t="inlineStr">
        <is>
          <t>517 clusters exceeds max_clusters=500</t>
        </is>
      </c>
    </row>
    <row r="29">
      <c r="A29" s="14" t="inlineStr">
        <is>
          <t>fit25000000_mcs2500_ms5_eom</t>
        </is>
      </c>
      <c r="B29" s="14" t="n">
        <v>441</v>
      </c>
      <c r="C29" s="15" t="n">
        <v>0.02390552</v>
      </c>
      <c r="D29" s="14" t="n">
        <v>24402362</v>
      </c>
      <c r="E29" s="15" t="n">
        <v>0.9458738361673357</v>
      </c>
      <c r="F29" s="14" t="n">
        <v>1</v>
      </c>
      <c r="G29" s="14" t="n">
        <v>1</v>
      </c>
      <c r="H29" s="14" t="n">
        <v>1</v>
      </c>
      <c r="I29" s="15" t="n">
        <v>0.9460952591392587</v>
      </c>
      <c r="J29" s="15" t="n">
        <v>0.9447627651782233</v>
      </c>
      <c r="K29" s="14" t="n">
        <v>1</v>
      </c>
      <c r="L29" s="14" t="n">
        <v>1</v>
      </c>
      <c r="M29" s="14" t="n">
        <v>1</v>
      </c>
      <c r="N29" s="14" t="n">
        <v>1</v>
      </c>
      <c r="O29" s="14" t="n">
        <v>441</v>
      </c>
      <c r="P29" s="15" t="n">
        <v>0.3859413996982173</v>
      </c>
      <c r="Q29" s="14" t="n">
        <v>24373</v>
      </c>
      <c r="R29" s="14" t="n">
        <v>424</v>
      </c>
      <c r="S29" s="14" t="n">
        <v>17</v>
      </c>
      <c r="T29" s="15" t="n">
        <v>0.0015</v>
      </c>
      <c r="U29" s="15" t="n">
        <v>0.0236</v>
      </c>
      <c r="V29" s="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2.75" customWidth="1" min="3" max="3"/>
    <col width="11" customWidth="1" min="4" max="4"/>
    <col width="11.05" customWidth="1" min="5" max="5"/>
    <col width="17" customWidth="1" min="6" max="6"/>
    <col width="11" customWidth="1" min="7" max="7"/>
    <col width="11.05" customWidth="1" min="8" max="8"/>
    <col width="17" customWidth="1" min="9" max="9"/>
    <col width="11" customWidth="1" min="10" max="10"/>
    <col width="11.05" customWidth="1" min="11" max="11"/>
    <col width="17" customWidth="1" min="12" max="12"/>
    <col width="11" customWidth="1" min="13" max="13"/>
    <col width="11.05" customWidth="1" min="14" max="14"/>
    <col width="11" customWidth="1" min="15" max="15"/>
    <col width="11.05" customWidth="1" min="16" max="16"/>
    <col width="11" customWidth="1" min="17" max="17"/>
    <col width="11" customWidth="1" min="18" max="18"/>
    <col width="13.6" customWidth="1" min="19" max="19"/>
    <col width="15.3" customWidth="1" min="20" max="20"/>
    <col width="18.7" customWidth="1" min="21" max="21"/>
    <col width="20" customWidth="1" min="22" max="22"/>
    <col width="20" customWidth="1" min="23" max="23"/>
    <col width="14.45" customWidth="1" min="24" max="24"/>
    <col width="18.7" customWidth="1" min="25" max="25"/>
    <col width="19.55" customWidth="1" min="26" max="26"/>
    <col width="14.45" customWidth="1" min="27" max="27"/>
    <col width="18.7" customWidth="1" min="28" max="28"/>
    <col width="19.55" customWidth="1" min="29" max="29"/>
  </cols>
  <sheetData>
    <row r="1" ht="34" customHeight="1">
      <c r="A1" s="13" t="inlineStr">
        <is>
          <t>Cell</t>
        </is>
      </c>
      <c r="B1" s="13" t="inlineStr">
        <is>
          <t>n_clusters</t>
        </is>
      </c>
      <c r="C1" s="13" t="inlineStr">
        <is>
          <t>total_mutations</t>
        </is>
      </c>
      <c r="D1" s="13" t="inlineStr">
        <is>
          <t>cosine_mean</t>
        </is>
      </c>
      <c r="E1" s="13" t="inlineStr">
        <is>
          <t>cosine_median</t>
        </is>
      </c>
      <c r="F1" s="13" t="inlineStr">
        <is>
          <t>cosine_weighted_mean</t>
        </is>
      </c>
      <c r="G1" s="13" t="inlineStr">
        <is>
          <t>correlation_mean</t>
        </is>
      </c>
      <c r="H1" s="13" t="inlineStr">
        <is>
          <t>correlation_median</t>
        </is>
      </c>
      <c r="I1" s="13" t="inlineStr">
        <is>
          <t>clusters_above_07</t>
        </is>
      </c>
      <c r="J1" s="13" t="inlineStr">
        <is>
          <t>frac_clusters_above_07</t>
        </is>
      </c>
      <c r="K1" s="13" t="inlineStr">
        <is>
          <t>mutation_share_above_07</t>
        </is>
      </c>
      <c r="L1" s="13" t="inlineStr">
        <is>
          <t>clusters_above_08</t>
        </is>
      </c>
      <c r="M1" s="13" t="inlineStr">
        <is>
          <t>frac_clusters_above_08</t>
        </is>
      </c>
      <c r="N1" s="13" t="inlineStr">
        <is>
          <t>mutation_share_above_08</t>
        </is>
      </c>
    </row>
    <row r="2">
      <c r="A2" s="14" t="inlineStr">
        <is>
          <t>fit500000_mcs250_ms5_eom</t>
        </is>
      </c>
      <c r="B2" s="14" t="n">
        <v>560</v>
      </c>
      <c r="C2" s="14" t="n">
        <v>137943699</v>
      </c>
      <c r="D2" s="15" t="n">
        <v>0.2689267857142857</v>
      </c>
      <c r="E2" s="15" t="n">
        <v>0.1505</v>
      </c>
      <c r="F2" s="15" t="n">
        <v>0.2628890217885198</v>
      </c>
      <c r="G2" s="15" t="n">
        <v>0.2425464285714286</v>
      </c>
      <c r="H2" s="15" t="n">
        <v>0.107</v>
      </c>
      <c r="I2" s="14" t="n">
        <v>52</v>
      </c>
      <c r="J2" s="15" t="n">
        <v>0.09285714285714286</v>
      </c>
      <c r="K2" s="15" t="n">
        <v>0.0820529975783816</v>
      </c>
      <c r="L2" s="14" t="n">
        <v>12</v>
      </c>
      <c r="M2" s="15" t="n">
        <v>0.02142857142857143</v>
      </c>
      <c r="N2" s="15" t="n">
        <v>0.02177929127447858</v>
      </c>
    </row>
    <row r="3">
      <c r="A3" s="14" t="inlineStr">
        <is>
          <t>fit500000_mcs500_ms5_eom</t>
        </is>
      </c>
      <c r="B3" s="14" t="n">
        <v>363</v>
      </c>
      <c r="C3" s="14" t="n">
        <v>143140786</v>
      </c>
      <c r="D3" s="15" t="n">
        <v>0.2699669421487603</v>
      </c>
      <c r="E3" s="15" t="n">
        <v>0.166</v>
      </c>
      <c r="F3" s="15" t="n">
        <v>0.2624971255781703</v>
      </c>
      <c r="G3" s="15" t="n">
        <v>0.2416005509641873</v>
      </c>
      <c r="H3" s="15" t="n">
        <v>0.119</v>
      </c>
      <c r="I3" s="14" t="n">
        <v>30</v>
      </c>
      <c r="J3" s="15" t="n">
        <v>0.08264462809917356</v>
      </c>
      <c r="K3" s="15" t="n">
        <v>0.07123348477351521</v>
      </c>
      <c r="L3" s="14" t="n">
        <v>6</v>
      </c>
      <c r="M3" s="15" t="n">
        <v>0.01652892561983471</v>
      </c>
      <c r="N3" s="15" t="n">
        <v>0.02033038298392465</v>
      </c>
    </row>
    <row r="4">
      <c r="A4" s="14" t="inlineStr">
        <is>
          <t>fit500000_mcs1000_ms5_eom</t>
        </is>
      </c>
      <c r="B4" s="14" t="n">
        <v>220</v>
      </c>
      <c r="C4" s="14" t="n">
        <v>145059863</v>
      </c>
      <c r="D4" s="15" t="n">
        <v>0.27875</v>
      </c>
      <c r="E4" s="15" t="n">
        <v>0.2295</v>
      </c>
      <c r="F4" s="15" t="n">
        <v>0.2708389495101067</v>
      </c>
      <c r="G4" s="15" t="n">
        <v>0.2488409090909091</v>
      </c>
      <c r="H4" s="15" t="n">
        <v>0.18</v>
      </c>
      <c r="I4" s="14" t="n">
        <v>16</v>
      </c>
      <c r="J4" s="15" t="n">
        <v>0.07272727272727272</v>
      </c>
      <c r="K4" s="15" t="n">
        <v>0.0616904898083352</v>
      </c>
      <c r="L4" s="14" t="n">
        <v>4</v>
      </c>
      <c r="M4" s="15" t="n">
        <v>0.01818181818181818</v>
      </c>
      <c r="N4" s="15" t="n">
        <v>0.0165946868431828</v>
      </c>
    </row>
    <row r="5">
      <c r="A5" s="14" t="inlineStr">
        <is>
          <t>fit500000_mcs2500_ms5_eom</t>
        </is>
      </c>
      <c r="B5" s="14" t="n">
        <v>88</v>
      </c>
      <c r="C5" s="14" t="n">
        <v>137806527</v>
      </c>
      <c r="D5" s="15" t="n">
        <v>0.2613409090909091</v>
      </c>
      <c r="E5" s="15" t="n">
        <v>0.148</v>
      </c>
      <c r="F5" s="15" t="n">
        <v>0.2665450304251554</v>
      </c>
      <c r="G5" s="15" t="n">
        <v>0.2255</v>
      </c>
      <c r="H5" s="15" t="n">
        <v>0.0935</v>
      </c>
      <c r="I5" s="14" t="n">
        <v>5</v>
      </c>
      <c r="J5" s="15" t="n">
        <v>0.05681818181818182</v>
      </c>
      <c r="K5" s="15" t="n">
        <v>0.05478569240773334</v>
      </c>
      <c r="L5" s="14" t="n">
        <v>1</v>
      </c>
      <c r="M5" s="15" t="n">
        <v>0.01136363636363636</v>
      </c>
      <c r="N5" s="15" t="n">
        <v>0.009028142767141936</v>
      </c>
    </row>
    <row r="6">
      <c r="A6" s="14" t="inlineStr">
        <is>
          <t>fit500000_mcs250_ms15_eom</t>
        </is>
      </c>
      <c r="B6" s="14" t="n">
        <v>518</v>
      </c>
      <c r="C6" s="14" t="n">
        <v>140705084</v>
      </c>
      <c r="D6" s="15" t="n">
        <v>0.2771428571428571</v>
      </c>
      <c r="E6" s="15" t="n">
        <v>0.1685</v>
      </c>
      <c r="F6" s="15" t="n">
        <v>0.2627980146829663</v>
      </c>
      <c r="G6" s="15" t="n">
        <v>0.2513320463320463</v>
      </c>
      <c r="H6" s="15" t="n">
        <v>0.145</v>
      </c>
      <c r="I6" s="14" t="n">
        <v>51</v>
      </c>
      <c r="J6" s="15" t="n">
        <v>0.09845559845559845</v>
      </c>
      <c r="K6" s="15" t="n">
        <v>0.08060467097265654</v>
      </c>
      <c r="L6" s="14" t="n">
        <v>11</v>
      </c>
      <c r="M6" s="15" t="n">
        <v>0.02123552123552123</v>
      </c>
      <c r="N6" s="15" t="n">
        <v>0.02007646006593479</v>
      </c>
    </row>
    <row r="7">
      <c r="A7" s="14" t="inlineStr">
        <is>
          <t>fit500000_mcs500_ms15_eom</t>
        </is>
      </c>
      <c r="B7" s="14" t="n">
        <v>348</v>
      </c>
      <c r="C7" s="14" t="n">
        <v>144668591</v>
      </c>
      <c r="D7" s="15" t="n">
        <v>0.2790229885057471</v>
      </c>
      <c r="E7" s="15" t="n">
        <v>0.259</v>
      </c>
      <c r="F7" s="15" t="n">
        <v>0.2645703867952927</v>
      </c>
      <c r="G7" s="15" t="n">
        <v>0.2514252873563218</v>
      </c>
      <c r="H7" s="15" t="n">
        <v>0.2205</v>
      </c>
      <c r="I7" s="14" t="n">
        <v>31</v>
      </c>
      <c r="J7" s="15" t="n">
        <v>0.08908045977011494</v>
      </c>
      <c r="K7" s="15" t="n">
        <v>0.06959596364631768</v>
      </c>
      <c r="L7" s="14" t="n">
        <v>6</v>
      </c>
      <c r="M7" s="15" t="n">
        <v>0.01724137931034483</v>
      </c>
      <c r="N7" s="15" t="n">
        <v>0.01976272790270004</v>
      </c>
    </row>
    <row r="8">
      <c r="A8" s="14" t="inlineStr">
        <is>
          <t>fit500000_mcs1000_ms15_eom</t>
        </is>
      </c>
      <c r="B8" s="14" t="n">
        <v>215</v>
      </c>
      <c r="C8" s="14" t="n">
        <v>147073359</v>
      </c>
      <c r="D8" s="15" t="n">
        <v>0.2756511627906977</v>
      </c>
      <c r="E8" s="15" t="n">
        <v>0.192</v>
      </c>
      <c r="F8" s="15" t="n">
        <v>0.2718426267261632</v>
      </c>
      <c r="G8" s="15" t="n">
        <v>0.2450744186046512</v>
      </c>
      <c r="H8" s="15" t="n">
        <v>0.138</v>
      </c>
      <c r="I8" s="14" t="n">
        <v>14</v>
      </c>
      <c r="J8" s="15" t="n">
        <v>0.06511627906976744</v>
      </c>
      <c r="K8" s="15" t="n">
        <v>0.05554374398969156</v>
      </c>
      <c r="L8" s="14" t="n">
        <v>4</v>
      </c>
      <c r="M8" s="15" t="n">
        <v>0.0186046511627907</v>
      </c>
      <c r="N8" s="15" t="n">
        <v>0.01608106332840335</v>
      </c>
    </row>
    <row r="9">
      <c r="A9" s="14" t="inlineStr">
        <is>
          <t>fit500000_mcs2500_ms15_eom</t>
        </is>
      </c>
      <c r="B9" s="14" t="n">
        <v>89</v>
      </c>
      <c r="C9" s="14" t="n">
        <v>146048222</v>
      </c>
      <c r="D9" s="15" t="n">
        <v>0.274943820224719</v>
      </c>
      <c r="E9" s="15" t="n">
        <v>0.192</v>
      </c>
      <c r="F9" s="15" t="n">
        <v>0.2844376097916481</v>
      </c>
      <c r="G9" s="15" t="n">
        <v>0.2394044943820225</v>
      </c>
      <c r="H9" s="15" t="n">
        <v>0.14</v>
      </c>
      <c r="I9" s="14" t="n">
        <v>3</v>
      </c>
      <c r="J9" s="15" t="n">
        <v>0.03370786516853932</v>
      </c>
      <c r="K9" s="15" t="n">
        <v>0.04920700780595604</v>
      </c>
      <c r="L9" s="14" t="n">
        <v>0</v>
      </c>
      <c r="M9" s="14" t="n">
        <v>0</v>
      </c>
      <c r="N9" s="14" t="n">
        <v>0</v>
      </c>
    </row>
    <row r="10">
      <c r="A10" s="14" t="inlineStr">
        <is>
          <t>fit1000000_mcs250_ms5_eom</t>
        </is>
      </c>
      <c r="B10" s="14" t="n">
        <v>814</v>
      </c>
      <c r="C10" s="14" t="n">
        <v>130994689</v>
      </c>
      <c r="D10" s="15" t="n">
        <v>0.2560368550368551</v>
      </c>
      <c r="E10" s="15" t="n">
        <v>0.1385</v>
      </c>
      <c r="F10" s="15" t="n">
        <v>0.2578502668302834</v>
      </c>
      <c r="G10" s="15" t="n">
        <v>0.2301474201474202</v>
      </c>
      <c r="H10" s="15" t="n">
        <v>0.093</v>
      </c>
      <c r="I10" s="14" t="n">
        <v>67</v>
      </c>
      <c r="J10" s="15" t="n">
        <v>0.08230958230958231</v>
      </c>
      <c r="K10" s="15" t="n">
        <v>0.07625467166840634</v>
      </c>
      <c r="L10" s="14" t="n">
        <v>17</v>
      </c>
      <c r="M10" s="15" t="n">
        <v>0.02088452088452088</v>
      </c>
      <c r="N10" s="15" t="n">
        <v>0.02114936125387496</v>
      </c>
    </row>
    <row r="11">
      <c r="A11" s="14" t="inlineStr">
        <is>
          <t>fit1000000_mcs500_ms5_eom</t>
        </is>
      </c>
      <c r="B11" s="14" t="n">
        <v>584</v>
      </c>
      <c r="C11" s="14" t="n">
        <v>137189849</v>
      </c>
      <c r="D11" s="15" t="n">
        <v>0.2684195205479452</v>
      </c>
      <c r="E11" s="15" t="n">
        <v>0.166</v>
      </c>
      <c r="F11" s="15" t="n">
        <v>0.2618712526245291</v>
      </c>
      <c r="G11" s="15" t="n">
        <v>0.2422688356164384</v>
      </c>
      <c r="H11" s="15" t="n">
        <v>0.1155</v>
      </c>
      <c r="I11" s="14" t="n">
        <v>51</v>
      </c>
      <c r="J11" s="15" t="n">
        <v>0.08732876712328767</v>
      </c>
      <c r="K11" s="15" t="n">
        <v>0.08413576575917071</v>
      </c>
      <c r="L11" s="14" t="n">
        <v>11</v>
      </c>
      <c r="M11" s="15" t="n">
        <v>0.01883561643835616</v>
      </c>
      <c r="N11" s="15" t="n">
        <v>0.02439414449679874</v>
      </c>
    </row>
    <row r="12">
      <c r="A12" s="14" t="inlineStr">
        <is>
          <t>fit1000000_mcs1000_ms5_eom</t>
        </is>
      </c>
      <c r="B12" s="14" t="n">
        <v>375</v>
      </c>
      <c r="C12" s="14" t="n">
        <v>140667787</v>
      </c>
      <c r="D12" s="15" t="n">
        <v>0.2724853333333334</v>
      </c>
      <c r="E12" s="15" t="n">
        <v>0.167</v>
      </c>
      <c r="F12" s="15" t="n">
        <v>0.262867639945171</v>
      </c>
      <c r="G12" s="15" t="n">
        <v>0.2446266666666667</v>
      </c>
      <c r="H12" s="15" t="n">
        <v>0.142</v>
      </c>
      <c r="I12" s="14" t="n">
        <v>30</v>
      </c>
      <c r="J12" s="15" t="n">
        <v>0.08</v>
      </c>
      <c r="K12" s="15" t="n">
        <v>0.07149897794297425</v>
      </c>
      <c r="L12" s="14" t="n">
        <v>6</v>
      </c>
      <c r="M12" s="15" t="n">
        <v>0.016</v>
      </c>
      <c r="N12" s="15" t="n">
        <v>0.02011276398341292</v>
      </c>
    </row>
    <row r="13">
      <c r="A13" s="14" t="inlineStr">
        <is>
          <t>fit1000000_mcs2500_ms5_eom</t>
        </is>
      </c>
      <c r="B13" s="14" t="n">
        <v>176</v>
      </c>
      <c r="C13" s="14" t="n">
        <v>144521767</v>
      </c>
      <c r="D13" s="15" t="n">
        <v>0.2805909090909091</v>
      </c>
      <c r="E13" s="15" t="n">
        <v>0.25</v>
      </c>
      <c r="F13" s="15" t="n">
        <v>0.275603469559018</v>
      </c>
      <c r="G13" s="15" t="n">
        <v>0.2491875</v>
      </c>
      <c r="H13" s="15" t="n">
        <v>0.1915</v>
      </c>
      <c r="I13" s="14" t="n">
        <v>11</v>
      </c>
      <c r="J13" s="15" t="n">
        <v>0.0625</v>
      </c>
      <c r="K13" s="15" t="n">
        <v>0.05625714498771663</v>
      </c>
      <c r="L13" s="14" t="n">
        <v>3</v>
      </c>
      <c r="M13" s="15" t="n">
        <v>0.01704545454545454</v>
      </c>
      <c r="N13" s="15" t="n">
        <v>0.01403942148036427</v>
      </c>
    </row>
    <row r="14">
      <c r="A14" s="14" t="inlineStr">
        <is>
          <t>fit1000000_mcs250_ms15_eom</t>
        </is>
      </c>
      <c r="B14" s="14" t="n">
        <v>735</v>
      </c>
      <c r="C14" s="14" t="n">
        <v>132493940</v>
      </c>
      <c r="D14" s="15" t="n">
        <v>0.2579455782312925</v>
      </c>
      <c r="E14" s="15" t="n">
        <v>0.135</v>
      </c>
      <c r="F14" s="15" t="n">
        <v>0.2626286242751932</v>
      </c>
      <c r="G14" s="15" t="n">
        <v>0.232356462585034</v>
      </c>
      <c r="H14" s="15" t="n">
        <v>0.093</v>
      </c>
      <c r="I14" s="14" t="n">
        <v>63</v>
      </c>
      <c r="J14" s="15" t="n">
        <v>0.08571428571428572</v>
      </c>
      <c r="K14" s="15" t="n">
        <v>0.07897716680476104</v>
      </c>
      <c r="L14" s="14" t="n">
        <v>15</v>
      </c>
      <c r="M14" s="15" t="n">
        <v>0.02040816326530612</v>
      </c>
      <c r="N14" s="15" t="n">
        <v>0.02462465075761201</v>
      </c>
    </row>
    <row r="15">
      <c r="A15" s="14" t="inlineStr">
        <is>
          <t>fit1000000_mcs500_ms15_eom</t>
        </is>
      </c>
      <c r="B15" s="14" t="n">
        <v>534</v>
      </c>
      <c r="C15" s="14" t="n">
        <v>140345459</v>
      </c>
      <c r="D15" s="15" t="n">
        <v>0.275249063670412</v>
      </c>
      <c r="E15" s="15" t="n">
        <v>0.1655</v>
      </c>
      <c r="F15" s="15" t="n">
        <v>0.2618046337929608</v>
      </c>
      <c r="G15" s="15" t="n">
        <v>0.2492883895131086</v>
      </c>
      <c r="H15" s="15" t="n">
        <v>0.1185</v>
      </c>
      <c r="I15" s="14" t="n">
        <v>50</v>
      </c>
      <c r="J15" s="15" t="n">
        <v>0.09363295880149813</v>
      </c>
      <c r="K15" s="15" t="n">
        <v>0.07704760151876378</v>
      </c>
      <c r="L15" s="14" t="n">
        <v>11</v>
      </c>
      <c r="M15" s="15" t="n">
        <v>0.02059925093632959</v>
      </c>
      <c r="N15" s="15" t="n">
        <v>0.01974380232708491</v>
      </c>
    </row>
    <row r="16">
      <c r="A16" s="14" t="inlineStr">
        <is>
          <t>fit1000000_mcs1000_ms15_eom</t>
        </is>
      </c>
      <c r="B16" s="14" t="n">
        <v>357</v>
      </c>
      <c r="C16" s="14" t="n">
        <v>144413304</v>
      </c>
      <c r="D16" s="15" t="n">
        <v>0.269983193277311</v>
      </c>
      <c r="E16" s="15" t="n">
        <v>0.166</v>
      </c>
      <c r="F16" s="15" t="n">
        <v>0.2656960175012685</v>
      </c>
      <c r="G16" s="15" t="n">
        <v>0.2417310924369748</v>
      </c>
      <c r="H16" s="15" t="n">
        <v>0.121</v>
      </c>
      <c r="I16" s="14" t="n">
        <v>27</v>
      </c>
      <c r="J16" s="15" t="n">
        <v>0.07563025210084033</v>
      </c>
      <c r="K16" s="15" t="n">
        <v>0.06741617794438108</v>
      </c>
      <c r="L16" s="14" t="n">
        <v>6</v>
      </c>
      <c r="M16" s="15" t="n">
        <v>0.01680672268907563</v>
      </c>
      <c r="N16" s="15" t="n">
        <v>0.01946716765098041</v>
      </c>
    </row>
    <row r="17">
      <c r="A17" s="14" t="inlineStr">
        <is>
          <t>fit1000000_mcs2500_ms15_eom</t>
        </is>
      </c>
      <c r="B17" s="14" t="n">
        <v>175</v>
      </c>
      <c r="C17" s="14" t="n">
        <v>145916931</v>
      </c>
      <c r="D17" s="15" t="n">
        <v>0.2803542857142857</v>
      </c>
      <c r="E17" s="15" t="n">
        <v>0.239</v>
      </c>
      <c r="F17" s="15" t="n">
        <v>0.2774432740228068</v>
      </c>
      <c r="G17" s="15" t="n">
        <v>0.2488114285714286</v>
      </c>
      <c r="H17" s="15" t="n">
        <v>0.189</v>
      </c>
      <c r="I17" s="14" t="n">
        <v>11</v>
      </c>
      <c r="J17" s="15" t="n">
        <v>0.06285714285714286</v>
      </c>
      <c r="K17" s="15" t="n">
        <v>0.0564610490608523</v>
      </c>
      <c r="L17" s="14" t="n">
        <v>3</v>
      </c>
      <c r="M17" s="15" t="n">
        <v>0.01714285714285714</v>
      </c>
      <c r="N17" s="15" t="n">
        <v>0.01388279609581427</v>
      </c>
    </row>
    <row r="18">
      <c r="A18" s="14" t="inlineStr">
        <is>
          <t>fit5000000_mcs250_ms5_eom</t>
        </is>
      </c>
      <c r="B18" s="14" t="n">
        <v>1096</v>
      </c>
      <c r="C18" s="14" t="n">
        <v>139120617</v>
      </c>
      <c r="D18" s="15" t="n">
        <v>0.2568923357664233</v>
      </c>
      <c r="E18" s="15" t="n">
        <v>0.1455</v>
      </c>
      <c r="F18" s="15" t="n">
        <v>0.2566695881028187</v>
      </c>
      <c r="G18" s="15" t="n">
        <v>0.2303613138686131</v>
      </c>
      <c r="H18" s="15" t="n">
        <v>0.108</v>
      </c>
      <c r="I18" s="14" t="n">
        <v>93</v>
      </c>
      <c r="J18" s="15" t="n">
        <v>0.08485401459854014</v>
      </c>
      <c r="K18" s="15" t="n">
        <v>0.07222456467397639</v>
      </c>
      <c r="L18" s="14" t="n">
        <v>44</v>
      </c>
      <c r="M18" s="15" t="n">
        <v>0.04014598540145985</v>
      </c>
      <c r="N18" s="15" t="n">
        <v>0.02243829899058024</v>
      </c>
    </row>
    <row r="19">
      <c r="A19" s="14" t="inlineStr">
        <is>
          <t>fit5000000_mcs500_ms5_eom</t>
        </is>
      </c>
      <c r="B19" s="14" t="n">
        <v>856</v>
      </c>
      <c r="C19" s="14" t="n">
        <v>140764196</v>
      </c>
      <c r="D19" s="15" t="n">
        <v>0.2627885514018692</v>
      </c>
      <c r="E19" s="15" t="n">
        <v>0.1495</v>
      </c>
      <c r="F19" s="15" t="n">
        <v>0.2576244732360777</v>
      </c>
      <c r="G19" s="15" t="n">
        <v>0.236626168224299</v>
      </c>
      <c r="H19" s="15" t="n">
        <v>0.1125</v>
      </c>
      <c r="I19" s="14" t="n">
        <v>75</v>
      </c>
      <c r="J19" s="15" t="n">
        <v>0.08761682242990654</v>
      </c>
      <c r="K19" s="15" t="n">
        <v>0.07273741683574138</v>
      </c>
      <c r="L19" s="14" t="n">
        <v>30</v>
      </c>
      <c r="M19" s="15" t="n">
        <v>0.03504672897196261</v>
      </c>
      <c r="N19" s="15" t="n">
        <v>0.02279618035824962</v>
      </c>
    </row>
    <row r="20">
      <c r="A20" s="14" t="inlineStr">
        <is>
          <t>fit5000000_mcs1000_ms5_eom</t>
        </is>
      </c>
      <c r="B20" s="14" t="n">
        <v>692</v>
      </c>
      <c r="C20" s="14" t="n">
        <v>142823858</v>
      </c>
      <c r="D20" s="15" t="n">
        <v>0.2631170520231214</v>
      </c>
      <c r="E20" s="15" t="n">
        <v>0.147</v>
      </c>
      <c r="F20" s="15" t="n">
        <v>0.2588402596994683</v>
      </c>
      <c r="G20" s="15" t="n">
        <v>0.2368439306358381</v>
      </c>
      <c r="H20" s="15" t="n">
        <v>0.108</v>
      </c>
      <c r="I20" s="14" t="n">
        <v>59</v>
      </c>
      <c r="J20" s="15" t="n">
        <v>0.08526011560693642</v>
      </c>
      <c r="K20" s="15" t="n">
        <v>0.07164352051041781</v>
      </c>
      <c r="L20" s="14" t="n">
        <v>20</v>
      </c>
      <c r="M20" s="15" t="n">
        <v>0.02890173410404624</v>
      </c>
      <c r="N20" s="15" t="n">
        <v>0.02331022314213078</v>
      </c>
    </row>
    <row r="21">
      <c r="A21" s="14" t="inlineStr">
        <is>
          <t>fit5000000_mcs2500_ms5_eom</t>
        </is>
      </c>
      <c r="B21" s="14" t="n">
        <v>513</v>
      </c>
      <c r="C21" s="14" t="n">
        <v>143692925</v>
      </c>
      <c r="D21" s="15" t="n">
        <v>0.2797680311890838</v>
      </c>
      <c r="E21" s="15" t="n">
        <v>0.168</v>
      </c>
      <c r="F21" s="15" t="n">
        <v>0.2607025922675038</v>
      </c>
      <c r="G21" s="15" t="n">
        <v>0.2536978557504873</v>
      </c>
      <c r="H21" s="15" t="n">
        <v>0.144</v>
      </c>
      <c r="I21" s="14" t="n">
        <v>50</v>
      </c>
      <c r="J21" s="15" t="n">
        <v>0.09746588693957114</v>
      </c>
      <c r="K21" s="15" t="n">
        <v>0.0762831085803285</v>
      </c>
      <c r="L21" s="14" t="n">
        <v>14</v>
      </c>
      <c r="M21" s="15" t="n">
        <v>0.02729044834307992</v>
      </c>
      <c r="N21" s="15" t="n">
        <v>0.02261113412507958</v>
      </c>
    </row>
    <row r="22">
      <c r="A22" s="14" t="inlineStr">
        <is>
          <t>fit5000000_mcs250_ms15_eom</t>
        </is>
      </c>
      <c r="B22" s="14" t="n">
        <v>1330</v>
      </c>
      <c r="C22" s="14" t="n">
        <v>126891194</v>
      </c>
      <c r="D22" s="15" t="n">
        <v>0.244281954887218</v>
      </c>
      <c r="E22" s="15" t="n">
        <v>0.13</v>
      </c>
      <c r="F22" s="15" t="n">
        <v>0.2610713293548172</v>
      </c>
      <c r="G22" s="15" t="n">
        <v>0.2181105263157895</v>
      </c>
      <c r="H22" s="15" t="n">
        <v>0.093</v>
      </c>
      <c r="I22" s="14" t="n">
        <v>106</v>
      </c>
      <c r="J22" s="15" t="n">
        <v>0.07969924812030076</v>
      </c>
      <c r="K22" s="15" t="n">
        <v>0.0802365607813573</v>
      </c>
      <c r="L22" s="14" t="n">
        <v>41</v>
      </c>
      <c r="M22" s="15" t="n">
        <v>0.03082706766917293</v>
      </c>
      <c r="N22" s="15" t="n">
        <v>0.0258151562511107</v>
      </c>
    </row>
    <row r="23">
      <c r="A23" s="14" t="inlineStr">
        <is>
          <t>fit5000000_mcs500_ms15_eom</t>
        </is>
      </c>
      <c r="B23" s="14" t="n">
        <v>1008</v>
      </c>
      <c r="C23" s="14" t="n">
        <v>130559723</v>
      </c>
      <c r="D23" s="15" t="n">
        <v>0.2547876984126984</v>
      </c>
      <c r="E23" s="15" t="n">
        <v>0.14</v>
      </c>
      <c r="F23" s="15" t="n">
        <v>0.2608603611237747</v>
      </c>
      <c r="G23" s="15" t="n">
        <v>0.2293492063492064</v>
      </c>
      <c r="H23" s="15" t="n">
        <v>0.1055</v>
      </c>
      <c r="I23" s="14" t="n">
        <v>84</v>
      </c>
      <c r="J23" s="15" t="n">
        <v>0.08333333333333333</v>
      </c>
      <c r="K23" s="15" t="n">
        <v>0.0815057565647562</v>
      </c>
      <c r="L23" s="14" t="n">
        <v>26</v>
      </c>
      <c r="M23" s="15" t="n">
        <v>0.02579365079365079</v>
      </c>
      <c r="N23" s="15" t="n">
        <v>0.02647883221994887</v>
      </c>
    </row>
    <row r="24">
      <c r="A24" s="14" t="inlineStr">
        <is>
          <t>fit5000000_mcs1000_ms15_eom</t>
        </is>
      </c>
      <c r="B24" s="14" t="n">
        <v>784</v>
      </c>
      <c r="C24" s="14" t="n">
        <v>134835241</v>
      </c>
      <c r="D24" s="15" t="n">
        <v>0.2599400510204082</v>
      </c>
      <c r="E24" s="15" t="n">
        <v>0.1465</v>
      </c>
      <c r="F24" s="15" t="n">
        <v>0.2603503423411391</v>
      </c>
      <c r="G24" s="15" t="n">
        <v>0.234594387755102</v>
      </c>
      <c r="H24" s="15" t="n">
        <v>0.108</v>
      </c>
      <c r="I24" s="14" t="n">
        <v>64</v>
      </c>
      <c r="J24" s="15" t="n">
        <v>0.08163265306122448</v>
      </c>
      <c r="K24" s="15" t="n">
        <v>0.07758361925574042</v>
      </c>
      <c r="L24" s="14" t="n">
        <v>18</v>
      </c>
      <c r="M24" s="15" t="n">
        <v>0.02295918367346939</v>
      </c>
      <c r="N24" s="15" t="n">
        <v>0.0255126180254315</v>
      </c>
    </row>
    <row r="25">
      <c r="A25" s="14" t="inlineStr">
        <is>
          <t>fit5000000_mcs2500_ms15_eom</t>
        </is>
      </c>
      <c r="B25" s="14" t="n">
        <v>548</v>
      </c>
      <c r="C25" s="14" t="n">
        <v>139775150</v>
      </c>
      <c r="D25" s="15" t="n">
        <v>0.274978102189781</v>
      </c>
      <c r="E25" s="15" t="n">
        <v>0.166</v>
      </c>
      <c r="F25" s="15" t="n">
        <v>0.2605221457605304</v>
      </c>
      <c r="G25" s="15" t="n">
        <v>0.2490985401459854</v>
      </c>
      <c r="H25" s="15" t="n">
        <v>0.1315</v>
      </c>
      <c r="I25" s="14" t="n">
        <v>50</v>
      </c>
      <c r="J25" s="15" t="n">
        <v>0.09124087591240876</v>
      </c>
      <c r="K25" s="15" t="n">
        <v>0.0761983156519596</v>
      </c>
      <c r="L25" s="14" t="n">
        <v>12</v>
      </c>
      <c r="M25" s="15" t="n">
        <v>0.0218978102189781</v>
      </c>
      <c r="N25" s="15" t="n">
        <v>0.02114762888825374</v>
      </c>
    </row>
    <row r="26">
      <c r="A26" s="14" t="inlineStr">
        <is>
          <t>fit25000000_mcs250_ms5_eom</t>
        </is>
      </c>
      <c r="B26" s="14" t="n">
        <v>872</v>
      </c>
      <c r="C26" s="14" t="n">
        <v>151243008</v>
      </c>
      <c r="D26" s="15" t="n">
        <v>0.3171559633027523</v>
      </c>
      <c r="E26" s="15" t="n">
        <v>0.295</v>
      </c>
      <c r="F26" s="15" t="n">
        <v>0.2624738120720265</v>
      </c>
      <c r="G26" s="15" t="n">
        <v>0.2913818807339449</v>
      </c>
      <c r="H26" s="15" t="n">
        <v>0.267</v>
      </c>
      <c r="I26" s="14" t="n">
        <v>125</v>
      </c>
      <c r="J26" s="15" t="n">
        <v>0.143348623853211</v>
      </c>
      <c r="K26" s="15" t="n">
        <v>0.06416489018784921</v>
      </c>
      <c r="L26" s="14" t="n">
        <v>73</v>
      </c>
      <c r="M26" s="15" t="n">
        <v>0.08371559633027523</v>
      </c>
      <c r="N26" s="15" t="n">
        <v>0.01332710203700789</v>
      </c>
    </row>
    <row r="27">
      <c r="A27" s="14" t="inlineStr">
        <is>
          <t>fit25000000_mcs500_ms5_eom</t>
        </is>
      </c>
      <c r="B27" s="14" t="n">
        <v>634</v>
      </c>
      <c r="C27" s="14" t="n">
        <v>151761991</v>
      </c>
      <c r="D27" s="15" t="n">
        <v>0.3049921135646688</v>
      </c>
      <c r="E27" s="15" t="n">
        <v>0.271</v>
      </c>
      <c r="F27" s="15" t="n">
        <v>0.2629412314773862</v>
      </c>
      <c r="G27" s="15" t="n">
        <v>0.2794858044164038</v>
      </c>
      <c r="H27" s="15" t="n">
        <v>0.2215</v>
      </c>
      <c r="I27" s="14" t="n">
        <v>85</v>
      </c>
      <c r="J27" s="15" t="n">
        <v>0.1340694006309148</v>
      </c>
      <c r="K27" s="15" t="n">
        <v>0.06396446129914043</v>
      </c>
      <c r="L27" s="14" t="n">
        <v>44</v>
      </c>
      <c r="M27" s="15" t="n">
        <v>0.0694006309148265</v>
      </c>
      <c r="N27" s="15" t="n">
        <v>0.01352393960092419</v>
      </c>
    </row>
    <row r="28">
      <c r="A28" s="14" t="inlineStr">
        <is>
          <t>fit25000000_mcs1000_ms5_eom</t>
        </is>
      </c>
      <c r="B28" s="14" t="n">
        <v>517</v>
      </c>
      <c r="C28" s="14" t="n">
        <v>152172324</v>
      </c>
      <c r="D28" s="15" t="n">
        <v>0.2995512572533849</v>
      </c>
      <c r="E28" s="15" t="n">
        <v>0.266</v>
      </c>
      <c r="F28" s="15" t="n">
        <v>0.2635863244882821</v>
      </c>
      <c r="G28" s="15" t="n">
        <v>0.2738684719535783</v>
      </c>
      <c r="H28" s="15" t="n">
        <v>0.229</v>
      </c>
      <c r="I28" s="14" t="n">
        <v>62</v>
      </c>
      <c r="J28" s="15" t="n">
        <v>0.1199226305609284</v>
      </c>
      <c r="K28" s="15" t="n">
        <v>0.06419192231039332</v>
      </c>
      <c r="L28" s="14" t="n">
        <v>26</v>
      </c>
      <c r="M28" s="15" t="n">
        <v>0.05029013539651837</v>
      </c>
      <c r="N28" s="15" t="n">
        <v>0.01397455821204387</v>
      </c>
    </row>
    <row r="29">
      <c r="A29" s="14" t="inlineStr">
        <is>
          <t>fit25000000_mcs2500_ms5_eom</t>
        </is>
      </c>
      <c r="B29" s="14" t="n">
        <v>441</v>
      </c>
      <c r="C29" s="14" t="n">
        <v>152481214</v>
      </c>
      <c r="D29" s="15" t="n">
        <v>0.3031111111111112</v>
      </c>
      <c r="E29" s="15" t="n">
        <v>0.295</v>
      </c>
      <c r="F29" s="15" t="n">
        <v>0.2645665721680311</v>
      </c>
      <c r="G29" s="15" t="n">
        <v>0.2774444444444444</v>
      </c>
      <c r="H29" s="15" t="n">
        <v>0.268</v>
      </c>
      <c r="I29" s="14" t="n">
        <v>49</v>
      </c>
      <c r="J29" s="15" t="n">
        <v>0.1111111111111111</v>
      </c>
      <c r="K29" s="15" t="n">
        <v>0.0643464774618072</v>
      </c>
      <c r="L29" s="14" t="n">
        <v>15</v>
      </c>
      <c r="M29" s="15" t="n">
        <v>0.03401360544217687</v>
      </c>
      <c r="N29" s="15" t="n">
        <v>0.01333629859478952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2026-08-13T07:16:26Z</dcterms:created>
  <dcterms:modified xmlns:dcterms="http://purl.org/dc/terms/" xmlns:xsi="http://www.w3.org/2001/XMLSchema-instance" xsi:type="dcterms:W3CDTF">2026-08-13T13:29:24Z</dcterms:modified>
</cp:coreProperties>
</file>