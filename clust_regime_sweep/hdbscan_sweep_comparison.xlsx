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ull Ranking" sheetId="2" state="visible" r:id="rId2"/>
    <sheet name="CPU-Only Metrics" sheetId="3" state="visible" r:id="rId3"/>
    <sheet name="Timing" sheetId="4" state="visible" r:id="rId4"/>
    <sheet name="Metric Glossary" sheetId="5" state="visible" r:id="rId5"/>
  </sheets>
  <definedNames/>
  <calcPr calcId="124519" fullCalcOnLoad="1"/>
</workbook>
</file>

<file path=xl/styles.xml><?xml version="1.0" encoding="utf-8"?>
<styleSheet xmlns="http://schemas.openxmlformats.org/spreadsheetml/2006/main">
  <numFmts count="3">
    <numFmt numFmtId="164" formatCode="0.0000"/>
    <numFmt numFmtId="165" formatCode="0.0"/>
    <numFmt numFmtId="166" formatCode="0.000"/>
  </numFmts>
  <fonts count="7">
    <font>
      <name val="Calibri"/>
      <family val="2"/>
      <color theme="1"/>
      <sz val="11"/>
      <scheme val="minor"/>
    </font>
    <font>
      <b val="1"/>
      <color rgb="001F4E79"/>
      <sz val="14"/>
    </font>
    <font>
      <b val="1"/>
      <color rgb="00FFFFFF"/>
    </font>
    <font>
      <b val="1"/>
    </font>
    <font>
      <i val="1"/>
      <color rgb="00555555"/>
    </font>
    <font>
      <b val="1"/>
      <i val="1"/>
      <color rgb="00145A32"/>
    </font>
    <font>
      <i val="1"/>
      <color rgb="00784212"/>
    </font>
  </fonts>
  <fills count="13">
    <fill>
      <patternFill/>
    </fill>
    <fill>
      <patternFill patternType="gray125"/>
    </fill>
    <fill>
      <patternFill patternType="solid">
        <fgColor rgb="002E75B6"/>
      </patternFill>
    </fill>
    <fill>
      <patternFill patternType="solid">
        <fgColor rgb="00D6E4F0"/>
      </patternFill>
    </fill>
    <fill>
      <patternFill patternType="solid">
        <fgColor rgb="001F4E79"/>
      </patternFill>
    </fill>
    <fill>
      <patternFill patternType="solid">
        <fgColor rgb="001A5276"/>
      </patternFill>
    </fill>
    <fill>
      <patternFill patternType="solid">
        <fgColor rgb="004A235A"/>
      </patternFill>
    </fill>
    <fill>
      <patternFill patternType="solid">
        <fgColor rgb="00145A32"/>
      </patternFill>
    </fill>
    <fill>
      <patternFill patternType="solid">
        <fgColor rgb="00784212"/>
      </patternFill>
    </fill>
    <fill>
      <patternFill patternType="solid">
        <fgColor rgb="00FFEB9C"/>
      </patternFill>
    </fill>
    <fill>
      <patternFill patternType="solid">
        <fgColor rgb="00FFC7CE"/>
      </patternFill>
    </fill>
    <fill>
      <patternFill patternType="solid">
        <fgColor rgb="00C6EFCE"/>
      </patternFill>
    </fill>
    <fill>
      <patternFill patternType="solid">
        <fgColor rgb="00F0F0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42">
    <xf numFmtId="0" fontId="0" fillId="0" borderId="0" pivotButton="0" quotePrefix="0" xfId="0"/>
    <xf numFmtId="0" fontId="1" fillId="0" borderId="0" applyAlignment="1" pivotButton="0" quotePrefix="0" xfId="0">
      <alignment horizontal="left"/>
    </xf>
    <xf numFmtId="0" fontId="2" fillId="2" borderId="1" applyAlignment="1" pivotButton="0" quotePrefix="0" xfId="0">
      <alignment horizontal="left" vertical="center"/>
    </xf>
    <xf numFmtId="0" fontId="0" fillId="0" borderId="4" pivotButton="0" quotePrefix="0" xfId="0"/>
    <xf numFmtId="0" fontId="3" fillId="3" borderId="1" applyAlignment="1" pivotButton="0" quotePrefix="0" xfId="0">
      <alignment horizontal="left" vertical="top" wrapText="1"/>
    </xf>
    <xf numFmtId="0" fontId="0" fillId="0" borderId="1" applyAlignment="1" pivotButton="0" quotePrefix="0" xfId="0">
      <alignment horizontal="left" vertical="top" wrapText="1"/>
    </xf>
    <xf numFmtId="0" fontId="2" fillId="4" borderId="1" applyAlignment="1" pivotButton="0" quotePrefix="0" xfId="0">
      <alignment horizontal="center" vertical="center"/>
    </xf>
    <xf numFmtId="0" fontId="0" fillId="0" borderId="5" pivotButton="0" quotePrefix="0" xfId="0"/>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1" applyAlignment="1" pivotButton="0" quotePrefix="0" xfId="0">
      <alignment horizontal="left" vertical="center"/>
    </xf>
    <xf numFmtId="0" fontId="0" fillId="0" borderId="1" applyAlignment="1" pivotButton="0" quotePrefix="0" xfId="0">
      <alignment horizontal="center" vertical="center"/>
    </xf>
    <xf numFmtId="2" fontId="0" fillId="0" borderId="1" applyAlignment="1" pivotButton="0" quotePrefix="0" xfId="0">
      <alignment horizontal="center" vertical="center"/>
    </xf>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2" fontId="3" fillId="0" borderId="1" applyAlignment="1" pivotButton="0" quotePrefix="0" xfId="0">
      <alignment horizontal="center" vertical="center"/>
    </xf>
    <xf numFmtId="164" fontId="3" fillId="0" borderId="1" applyAlignment="1" pivotButton="0" quotePrefix="0" xfId="0">
      <alignment horizontal="center" vertical="center"/>
    </xf>
    <xf numFmtId="165" fontId="3" fillId="0" borderId="1" applyAlignment="1" pivotButton="0" quotePrefix="0" xfId="0">
      <alignment horizontal="center" vertical="center"/>
    </xf>
    <xf numFmtId="0" fontId="0" fillId="9" borderId="1" applyAlignment="1" pivotButton="0" quotePrefix="0" xfId="0">
      <alignment horizontal="center" vertical="center"/>
    </xf>
    <xf numFmtId="0" fontId="3" fillId="9" borderId="1" applyAlignment="1" pivotButton="0" quotePrefix="0" xfId="0">
      <alignment horizontal="center" vertical="center"/>
    </xf>
    <xf numFmtId="0" fontId="4" fillId="0" borderId="0" pivotButton="0" quotePrefix="0" xfId="0"/>
    <xf numFmtId="164" fontId="0" fillId="0" borderId="1" applyAlignment="1" pivotButton="0" quotePrefix="0" xfId="0">
      <alignment horizontal="center"/>
    </xf>
    <xf numFmtId="164" fontId="0" fillId="9" borderId="1" applyAlignment="1" pivotButton="0" quotePrefix="0" xfId="0">
      <alignment horizontal="center"/>
    </xf>
    <xf numFmtId="0" fontId="2" fillId="4" borderId="1" applyAlignment="1" pivotButton="0" quotePrefix="0" xfId="0">
      <alignment horizontal="center" vertical="center" wrapText="1"/>
    </xf>
    <xf numFmtId="166" fontId="0" fillId="0" borderId="1" applyAlignment="1" pivotButton="0" quotePrefix="0" xfId="0">
      <alignment horizontal="center" vertical="center"/>
    </xf>
    <xf numFmtId="166" fontId="0" fillId="10" borderId="1" applyAlignment="1" pivotButton="0" quotePrefix="0" xfId="0">
      <alignment horizontal="center" vertical="center"/>
    </xf>
    <xf numFmtId="166" fontId="0" fillId="11" borderId="1" applyAlignment="1" pivotButton="0" quotePrefix="0" xfId="0">
      <alignment horizontal="center" vertical="center"/>
    </xf>
    <xf numFmtId="0" fontId="3" fillId="0" borderId="1" pivotButton="0" quotePrefix="0" xfId="0"/>
    <xf numFmtId="0" fontId="0" fillId="0" borderId="1" pivotButton="0" quotePrefix="0" xfId="0"/>
    <xf numFmtId="1" fontId="3" fillId="0" borderId="1" pivotButton="0" quotePrefix="0" xfId="0"/>
    <xf numFmtId="166" fontId="3" fillId="0" borderId="1" pivotButton="0" quotePrefix="0" xfId="0"/>
    <xf numFmtId="0" fontId="5" fillId="0" borderId="0" pivotButton="0" quotePrefix="0" xfId="0"/>
    <xf numFmtId="0" fontId="6" fillId="0" borderId="0" pivotButton="0" quotePrefix="0" xfId="0"/>
    <xf numFmtId="0" fontId="2" fillId="4" borderId="1" applyAlignment="1" pivotButton="0" quotePrefix="0" xfId="0">
      <alignment horizontal="left" vertical="center"/>
    </xf>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RowHeight="15"/>
  <cols>
    <col width="32" customWidth="1" min="1" max="1"/>
    <col width="90" customWidth="1" min="2" max="2"/>
  </cols>
  <sheetData>
    <row r="1" ht="25" customHeight="1">
      <c r="A1" s="1" t="inlineStr">
        <is>
          <t>HDBSCAN Param Sweep — Backend Comparison Summary</t>
        </is>
      </c>
    </row>
    <row r="3">
      <c r="A3" s="2" t="inlineStr">
        <is>
          <t>Experiment</t>
        </is>
      </c>
      <c r="B3" s="3" t="n"/>
    </row>
    <row r="4" ht="69" customHeight="1">
      <c r="A4" s="4" t="inlineStr">
        <is>
          <t>Grid</t>
        </is>
      </c>
      <c r="B4" s="5" t="inlineStr">
        <is>
          <t>4 fit sizes (500K, 1M, 5M, 25M) × 4 mcs (250, 500, 1000, 2500) × 2 min_samples (5, 15) = 28 cells. 25M/ms=15 excluded (OOM). 24 cells ≤ 5M.</t>
        </is>
      </c>
    </row>
    <row r="5" ht="65" customHeight="1">
      <c r="A5" s="4" t="inlineStr">
        <is>
          <t>Pass 1 backend</t>
        </is>
      </c>
      <c r="B5" s="5" t="inlineStr">
        <is>
          <t>cuML HDBSCAN (GPU). 28 cells. Output: param_sweep_refit/. Cluster geometry (DBCV, connectivity, persistence), SigProfiler uv_only.</t>
        </is>
      </c>
    </row>
    <row r="6" ht="70" customHeight="1">
      <c r="A6" s="4" t="inlineStr">
        <is>
          <t>Pass 2 backend</t>
        </is>
      </c>
      <c r="B6" s="5" t="inlineStr">
        <is>
          <t>CPU hdbscan package. 24 cells (≤ 5M only). Output: param_sweep_refit_cpu/. Same geometry + adds relative_validity, outlier_scores, exemplars.</t>
        </is>
      </c>
    </row>
    <row r="7" ht="56" customHeight="1">
      <c r="A7" s="4" t="inlineStr">
        <is>
          <t>Refit purpose</t>
        </is>
      </c>
      <c r="B7" s="5" t="inlineStr">
        <is>
          <t>Verify cuML labels match CPU labels (ARI check) AND unlock CPU-only model artefacts that cuML does not populate.</t>
        </is>
      </c>
    </row>
    <row r="9">
      <c r="A9" s="2" t="inlineStr">
        <is>
          <t>Key Finding: Backends Produce Identical Clusters</t>
        </is>
      </c>
      <c r="B9" s="3" t="n"/>
    </row>
    <row r="10" ht="75" customHeight="1">
      <c r="A10" s="4" t="inlineStr">
        <is>
          <t>ARI across 24 shared cells</t>
        </is>
      </c>
      <c r="B10" s="5" t="inlineStr">
        <is>
          <t>1.0000 for every cell — zero differing rows. All non-timing metrics (DBCV, connectivity, persistence, SigProfiler) are bit-identical between backends.</t>
        </is>
      </c>
    </row>
    <row r="11" ht="80" customHeight="1">
      <c r="A11" s="4" t="inlineStr">
        <is>
          <t>What this means</t>
        </is>
      </c>
      <c r="B11" s="5" t="inlineStr">
        <is>
          <t>cuML and CPU HDBSCAN agree completely on which points belong to which cluster. The CPU pass adds new artefacts on top of identical geometry, not different geometry.</t>
        </is>
      </c>
    </row>
    <row r="13">
      <c r="A13" s="2" t="inlineStr">
        <is>
          <t>New Data from CPU Backend (not available from cuML)</t>
        </is>
      </c>
      <c r="B13" s="3" t="n"/>
    </row>
    <row r="14" ht="79" customHeight="1">
      <c r="A14" s="4" t="inlineStr">
        <is>
          <t>relative_validity_</t>
        </is>
      </c>
      <c r="B14" s="5" t="inlineStr">
        <is>
          <t>HDBSCAN's own internal DBCV approximation. Range 0.197–0.346 across 24 cells (1.76× spread). cuML returns NaN for this field. Available only from CPU backend.</t>
        </is>
      </c>
    </row>
    <row r="15" ht="80" customHeight="1">
      <c r="A15" s="4" t="inlineStr">
        <is>
          <t>outlier_scores_</t>
        </is>
      </c>
      <c r="B15" s="5" t="inlineStr">
        <is>
          <t>Per-point outlier score in [0, 1]. Points deep in clusters score near 0; noise points score near 1. cuML does not populate this array. Regime: p99 &lt; 1.0 only for 88/89-cluster cells (0.979, 0.950). All 22 other cells have p99 = 1.0000 exactly — most points are trivially 'extreme' outliers in high-cluster-count solutions.</t>
        </is>
      </c>
    </row>
    <row r="16" ht="71" customHeight="1">
      <c r="A16" s="4" t="inlineStr">
        <is>
          <t>exemplars_</t>
        </is>
      </c>
      <c r="B16" s="5" t="inlineStr">
        <is>
          <t>One or more representative points per cluster. cuML does not populate. Useful for inspecting cluster character without loading the full cohort.</t>
        </is>
      </c>
    </row>
    <row r="17" ht="80" customHeight="1">
      <c r="A17" s="4" t="inlineStr">
        <is>
          <t>Full persistence distribution</t>
        </is>
      </c>
      <c r="B17" s="5" t="inlineStr">
        <is>
          <t>cluster_persistence_ gives a real distribution only for the 88- and 89-cluster cells (500K/mcs2500): min 0.003–0.010, max 0.937–0.925. For all 22 other cells (≥175 clusters) persistence is exactly 1.0 for every cluster in BOTH backends — this is a density-regime effect, not a cuML bug.</t>
        </is>
      </c>
    </row>
    <row r="19">
      <c r="A19" s="2" t="inlineStr">
        <is>
          <t>Key Metric Findings</t>
        </is>
      </c>
      <c r="B19" s="3" t="n"/>
    </row>
    <row r="20" ht="80" customHeight="1">
      <c r="A20" s="4" t="inlineStr">
        <is>
          <t>DBCV vs n_clusters</t>
        </is>
      </c>
      <c r="B20" s="5" t="inlineStr">
        <is>
          <t>Spearman ρ = −0.966. DBCV is nearly determined by cluster count. Range: 0.0015 (n=1096) to 0.4451 (n=88) — a 302× spread. Cannot be read as an independent quality score without controlling for n_clusters.</t>
        </is>
      </c>
    </row>
    <row r="21" ht="80" customHeight="1">
      <c r="A21" s="4" t="inlineStr">
        <is>
          <t>Negative point share</t>
        </is>
      </c>
      <c r="B21" s="5" t="inlineStr">
        <is>
          <t>dbcv_point_share_negative: fraction of assigned points in clusters with negative DBCV. Rises from 13.1% (n=88) to 52.3% (n=1096). ρ = −0.977 with DBCV. More interpretable than DBCV itself.</t>
        </is>
      </c>
    </row>
    <row r="22" ht="80" customHeight="1">
      <c r="A22" s="4" t="inlineStr">
        <is>
          <t>relative_validity</t>
        </is>
      </c>
      <c r="B22" s="5" t="inlineStr">
        <is>
          <t>1.76× spread (0.197–0.346) vs DBCV's 302×. ρ = +0.865 with DBCV. Ranks cells similarly but is much less sensitive to granularity. Use as a sanity check, not a discriminator.</t>
        </is>
      </c>
    </row>
    <row r="23" ht="80" customHeight="1">
      <c r="A23" s="4" t="inlineStr">
        <is>
          <t>uv_only SigProfiler</t>
        </is>
      </c>
      <c r="B23" s="5" t="inlineStr">
        <is>
          <t>Median cosine 0.130–0.250, mutation_share_above_0.7 = 4.9–8.4% across all cells. L1 residual 168–177%. No cell fits uv_only well — cohort SNV signatures lie outside the uv_only reference space.</t>
        </is>
      </c>
    </row>
    <row r="24" ht="63" customHeight="1">
      <c r="A24" s="4" t="inlineStr">
        <is>
          <t>Persistence as discriminator</t>
        </is>
      </c>
      <c r="B24" s="5" t="inlineStr">
        <is>
          <t>Persistence = 1.0 for all clusters in 22/24 cells. DO NOT use persistence to rank cells — it is degenerate above ~100 clusters.</t>
        </is>
      </c>
    </row>
    <row r="25" ht="67" customHeight="1">
      <c r="A25" s="4" t="inlineStr">
        <is>
          <t>Connectivity</t>
        </is>
      </c>
      <c r="B25" s="5" t="inlineStr">
        <is>
          <t>0.998–1.000 for all cells. Connectivity is also uninformative for ranking — EOM method on this UMAP always produces connected clusters.</t>
        </is>
      </c>
    </row>
    <row r="26" ht="80" customHeight="1">
      <c r="A26" s="4" t="inlineStr">
        <is>
          <t>Cohort noise (recommendation)</t>
        </is>
      </c>
      <c r="B26" s="5" t="inlineStr">
        <is>
          <t>25M/mcs2500/ms5 has the lowest cohort noise (7.9%) at a reasonable cluster count (584). 1M/mcs2500/ms15 (89 clusters) has the best DBCV (0.431) if advisor wants a high single number. Note: 25M cells have no CPU metrics (relative_validity, outlier_scores) — only cuML results exist for 25M.</t>
        </is>
      </c>
    </row>
    <row r="28">
      <c r="A28" s="2" t="inlineStr">
        <is>
          <t>Timing</t>
        </is>
      </c>
      <c r="B28" s="3" t="n"/>
    </row>
    <row r="29" ht="80" customHeight="1">
      <c r="A29" s="4" t="inlineStr">
        <is>
          <t>Fit time (cuML vs CPU at 5M)</t>
        </is>
      </c>
      <c r="B29" s="5" t="inlineStr">
        <is>
          <t>Effectively identical: 456–461 s for both backends across all 5M cells. fit_s is dominated by shared setup (subsample + UMAP coords load), not the HDBSCAN call itself. Not a valid backend speed benchmark.</t>
        </is>
      </c>
    </row>
    <row r="30" ht="59" customHeight="1">
      <c r="A30" s="4" t="inlineStr">
        <is>
          <t>Label time (cohort RBC apply, 24 shared cells total)</t>
        </is>
      </c>
      <c r="B30" s="5" t="inlineStr">
        <is>
          <t>cuML: 3,198 s total. CPU: 2,946 s total. CPU is 7.9% faster for applying cluster labels to the full 157.5M-row cohort.</t>
        </is>
      </c>
    </row>
  </sheetData>
  <mergeCells count="6">
    <mergeCell ref="A19:B19"/>
    <mergeCell ref="A28:B28"/>
    <mergeCell ref="A13:B13"/>
    <mergeCell ref="A1:B1"/>
    <mergeCell ref="A9:B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2"/>
  <sheetViews>
    <sheetView showGridLines="0" workbookViewId="0">
      <pane ySplit="2" topLeftCell="A3" activePane="bottomLeft" state="frozen"/>
      <selection pane="bottomLeft" activeCell="A1" sqref="A1"/>
    </sheetView>
  </sheetViews>
  <sheetFormatPr baseColWidth="8" defaultRowHeight="15"/>
  <cols>
    <col width="30" customWidth="1" min="1" max="1"/>
    <col width="13" customWidth="1" min="2" max="2"/>
    <col width="11" customWidth="1" min="3" max="3"/>
    <col width="9" customWidth="1" min="4" max="4"/>
    <col width="12" customWidth="1" min="5" max="5"/>
    <col width="10" customWidth="1" min="6" max="6"/>
    <col width="11" customWidth="1" min="7" max="7"/>
    <col width="12" customWidth="1" min="8" max="8"/>
    <col width="13" customWidth="1" min="9" max="9"/>
    <col width="10" customWidth="1" min="10" max="10"/>
    <col width="11" customWidth="1" min="11" max="11"/>
    <col width="14" customWidth="1" min="12" max="12"/>
    <col width="14" customWidth="1" min="13" max="13"/>
    <col width="13" customWidth="1" min="14" max="14"/>
    <col width="14" customWidth="1" min="15" max="15"/>
    <col width="15" customWidth="1" min="16" max="16"/>
    <col width="14" customWidth="1" min="17" max="17"/>
    <col width="14" customWidth="1" min="18" max="18"/>
    <col width="12" customWidth="1" min="19" max="19"/>
    <col width="13" customWidth="1" min="20" max="20"/>
    <col width="13" customWidth="1" min="21" max="21"/>
  </cols>
  <sheetData>
    <row r="1" ht="18" customHeight="1">
      <c r="A1" s="6" t="inlineStr">
        <is>
          <t>Cell Identity</t>
        </is>
      </c>
      <c r="B1" s="7" t="n"/>
      <c r="C1" s="7" t="n"/>
      <c r="D1" s="7" t="n"/>
      <c r="E1" s="7" t="n"/>
      <c r="F1" s="3" t="n"/>
      <c r="G1" s="8" t="inlineStr">
        <is>
          <t>Geometry (both backends identical)</t>
        </is>
      </c>
      <c r="H1" s="7" t="n"/>
      <c r="I1" s="7" t="n"/>
      <c r="J1" s="7" t="n"/>
      <c r="K1" s="3" t="n"/>
      <c r="L1" s="9" t="inlineStr">
        <is>
          <t>CPU-only artefacts</t>
        </is>
      </c>
      <c r="M1" s="3" t="n"/>
      <c r="N1" s="10" t="inlineStr">
        <is>
          <t>SigProfiler uv_only</t>
        </is>
      </c>
      <c r="O1" s="7" t="n"/>
      <c r="P1" s="7" t="n"/>
      <c r="Q1" s="7" t="n"/>
      <c r="R1" s="7" t="n"/>
      <c r="S1" s="7" t="n"/>
      <c r="T1" s="3" t="n"/>
      <c r="U1" s="11" t="inlineStr">
        <is>
          <t>Timing (cuML pass)</t>
        </is>
      </c>
      <c r="V1" s="3" t="n"/>
    </row>
    <row r="2" ht="42" customHeight="1">
      <c r="A2" s="12" t="inlineStr">
        <is>
          <t>Cell ID</t>
        </is>
      </c>
      <c r="B2" s="12" t="inlineStr">
        <is>
          <t>Fit rows
(HDBSCAN input)</t>
        </is>
      </c>
      <c r="C2" s="12" t="inlineStr">
        <is>
          <t>min_cluster
_size</t>
        </is>
      </c>
      <c r="D2" s="12" t="inlineStr">
        <is>
          <t>min_
samples</t>
        </is>
      </c>
      <c r="E2" s="12" t="inlineStr">
        <is>
          <t>N clusters
(excl. noise)</t>
        </is>
      </c>
      <c r="F2" s="12" t="inlineStr">
        <is>
          <t>Cohort
noise %</t>
        </is>
      </c>
      <c r="G2" s="12" t="inlineStr">
        <is>
          <t>DBCV
(density sep.)</t>
        </is>
      </c>
      <c r="H2" s="12" t="inlineStr">
        <is>
          <t>Connectivity
(k=10)</t>
        </is>
      </c>
      <c r="I2" s="12" t="inlineStr">
        <is>
          <t>Mean assign.
probability</t>
        </is>
      </c>
      <c r="J2" s="12" t="inlineStr">
        <is>
          <t>Frac prob
&gt; 0.8</t>
        </is>
      </c>
      <c r="K2" s="12" t="inlineStr">
        <is>
          <t>Persistence
median</t>
        </is>
      </c>
      <c r="L2" s="12" t="inlineStr">
        <is>
          <t>Rel. validity
(CPU model attr.)</t>
        </is>
      </c>
      <c r="M2" s="12" t="inlineStr">
        <is>
          <t>Neg-DBCV
point fraction
(CPU)</t>
        </is>
      </c>
      <c r="N2" s="12" t="inlineStr">
        <is>
          <t>Cosine sim
mean (uv_only)</t>
        </is>
      </c>
      <c r="O2" s="12" t="inlineStr">
        <is>
          <t>Cosine sim
wt-mean (uv_only)</t>
        </is>
      </c>
      <c r="P2" s="12" t="inlineStr">
        <is>
          <t>% mutations in
cos&gt;0.8 clusters
(already %)</t>
        </is>
      </c>
      <c r="Q2" s="12" t="inlineStr">
        <is>
          <t>Top channel
share median
(raw SBS96)</t>
        </is>
      </c>
      <c r="R2" s="12" t="inlineStr">
        <is>
          <t>Frac clusters
top-chan &gt; 0.5
(raw SBS96)</t>
        </is>
      </c>
      <c r="S2" s="12" t="inlineStr">
        <is>
          <t>L1 residual
% (mean)</t>
        </is>
      </c>
      <c r="T2" s="12" t="inlineStr">
        <is>
          <t>HDBSCAN fit
time s (cuML)</t>
        </is>
      </c>
      <c r="U2" s="12" t="inlineStr">
        <is>
          <t>Cohort label
time s (cuML)</t>
        </is>
      </c>
    </row>
    <row r="3">
      <c r="A3" s="13" t="inlineStr">
        <is>
          <t>fit500000_mcs250_ms5_eom</t>
        </is>
      </c>
      <c r="B3" s="14" t="n">
        <v>500000</v>
      </c>
      <c r="C3" s="14" t="n">
        <v>250</v>
      </c>
      <c r="D3" s="14" t="n">
        <v>5</v>
      </c>
      <c r="E3" s="14" t="n">
        <v>560</v>
      </c>
      <c r="F3" s="15" t="n">
        <v>12.42</v>
      </c>
      <c r="G3" s="16" t="n">
        <v>0.1890586063029621</v>
      </c>
      <c r="H3" s="16" t="n">
        <v>0.999</v>
      </c>
      <c r="I3" s="16" t="n">
        <v>0.758</v>
      </c>
      <c r="J3" s="16" t="n">
        <v>0.655</v>
      </c>
      <c r="K3" s="16" t="n">
        <v>1</v>
      </c>
      <c r="L3" s="16" t="n">
        <v>0.2935</v>
      </c>
      <c r="M3" s="16" t="n">
        <v>0.3276</v>
      </c>
      <c r="N3" s="16" t="n">
        <v>0.2689</v>
      </c>
      <c r="O3" s="16" t="n">
        <v>0.2629</v>
      </c>
      <c r="P3" s="15" t="n">
        <v>2.2</v>
      </c>
      <c r="Q3" s="16" t="n">
        <v>0.829</v>
      </c>
      <c r="R3" s="16" t="n">
        <v>0.841</v>
      </c>
      <c r="S3" s="15" t="n">
        <v>173.82</v>
      </c>
      <c r="T3" s="17" t="n">
        <v>6</v>
      </c>
      <c r="U3" s="17" t="n">
        <v>53.9</v>
      </c>
    </row>
    <row r="4">
      <c r="A4" s="13" t="inlineStr">
        <is>
          <t>fit500000_mcs250_ms15_eom</t>
        </is>
      </c>
      <c r="B4" s="14" t="n">
        <v>500000</v>
      </c>
      <c r="C4" s="14" t="n">
        <v>250</v>
      </c>
      <c r="D4" s="14" t="n">
        <v>15</v>
      </c>
      <c r="E4" s="14" t="n">
        <v>518</v>
      </c>
      <c r="F4" s="15" t="n">
        <v>10.66</v>
      </c>
      <c r="G4" s="16" t="n">
        <v>0.3286192958739054</v>
      </c>
      <c r="H4" s="16" t="n">
        <v>1</v>
      </c>
      <c r="I4" s="16" t="n">
        <v>0.759</v>
      </c>
      <c r="J4" s="16" t="n">
        <v>0.607</v>
      </c>
      <c r="K4" s="16" t="n">
        <v>1</v>
      </c>
      <c r="L4" s="16" t="n">
        <v>0.3176</v>
      </c>
      <c r="M4" s="16" t="n">
        <v>0.1575</v>
      </c>
      <c r="N4" s="16" t="n">
        <v>0.2771</v>
      </c>
      <c r="O4" s="16" t="n">
        <v>0.2628</v>
      </c>
      <c r="P4" s="15" t="n">
        <v>2</v>
      </c>
      <c r="Q4" s="16" t="n">
        <v>0.827</v>
      </c>
      <c r="R4" s="16" t="n">
        <v>0.844</v>
      </c>
      <c r="S4" s="15" t="n">
        <v>173</v>
      </c>
      <c r="T4" s="17" t="n">
        <v>5.3</v>
      </c>
      <c r="U4" s="17" t="n">
        <v>101.4</v>
      </c>
    </row>
    <row r="5">
      <c r="A5" s="13" t="inlineStr">
        <is>
          <t>fit500000_mcs500_ms5_eom</t>
        </is>
      </c>
      <c r="B5" s="14" t="n">
        <v>500000</v>
      </c>
      <c r="C5" s="14" t="n">
        <v>500</v>
      </c>
      <c r="D5" s="14" t="n">
        <v>5</v>
      </c>
      <c r="E5" s="14" t="n">
        <v>363</v>
      </c>
      <c r="F5" s="15" t="n">
        <v>9.119999999999999</v>
      </c>
      <c r="G5" s="16" t="n">
        <v>0.243984594501286</v>
      </c>
      <c r="H5" s="16" t="n">
        <v>1</v>
      </c>
      <c r="I5" s="16" t="n">
        <v>0.782</v>
      </c>
      <c r="J5" s="16" t="n">
        <v>0.676</v>
      </c>
      <c r="K5" s="16" t="n">
        <v>1</v>
      </c>
      <c r="L5" s="16" t="n">
        <v>0.2994</v>
      </c>
      <c r="M5" s="16" t="n">
        <v>0.2533</v>
      </c>
      <c r="N5" s="16" t="n">
        <v>0.27</v>
      </c>
      <c r="O5" s="16" t="n">
        <v>0.2625</v>
      </c>
      <c r="P5" s="15" t="n">
        <v>2</v>
      </c>
      <c r="Q5" s="16" t="n">
        <v>0.752</v>
      </c>
      <c r="R5" s="16" t="n">
        <v>0.793</v>
      </c>
      <c r="S5" s="15" t="n">
        <v>172.55</v>
      </c>
      <c r="T5" s="17" t="n">
        <v>5.8</v>
      </c>
      <c r="U5" s="17" t="n">
        <v>53.4</v>
      </c>
    </row>
    <row r="6">
      <c r="A6" s="13" t="inlineStr">
        <is>
          <t>fit500000_mcs500_ms15_eom</t>
        </is>
      </c>
      <c r="B6" s="14" t="n">
        <v>500000</v>
      </c>
      <c r="C6" s="14" t="n">
        <v>500</v>
      </c>
      <c r="D6" s="14" t="n">
        <v>15</v>
      </c>
      <c r="E6" s="14" t="n">
        <v>348</v>
      </c>
      <c r="F6" s="15" t="n">
        <v>8.15</v>
      </c>
      <c r="G6" s="16" t="n">
        <v>0.3364573014347578</v>
      </c>
      <c r="H6" s="16" t="n">
        <v>1</v>
      </c>
      <c r="I6" s="16" t="n">
        <v>0.792</v>
      </c>
      <c r="J6" s="16" t="n">
        <v>0.65</v>
      </c>
      <c r="K6" s="16" t="n">
        <v>1</v>
      </c>
      <c r="L6" s="16" t="n">
        <v>0.2963</v>
      </c>
      <c r="M6" s="16" t="n">
        <v>0.1791</v>
      </c>
      <c r="N6" s="16" t="n">
        <v>0.279</v>
      </c>
      <c r="O6" s="16" t="n">
        <v>0.2646</v>
      </c>
      <c r="P6" s="15" t="n">
        <v>2</v>
      </c>
      <c r="Q6" s="16" t="n">
        <v>0.757</v>
      </c>
      <c r="R6" s="16" t="n">
        <v>0.799</v>
      </c>
      <c r="S6" s="15" t="n">
        <v>171.87</v>
      </c>
      <c r="T6" s="17" t="n">
        <v>5.3</v>
      </c>
      <c r="U6" s="17" t="n">
        <v>100.9</v>
      </c>
    </row>
    <row r="7">
      <c r="A7" s="13" t="inlineStr">
        <is>
          <t>fit500000_mcs1000_ms5_eom</t>
        </is>
      </c>
      <c r="B7" s="14" t="n">
        <v>500000</v>
      </c>
      <c r="C7" s="14" t="n">
        <v>1000</v>
      </c>
      <c r="D7" s="14" t="n">
        <v>5</v>
      </c>
      <c r="E7" s="14" t="n">
        <v>220</v>
      </c>
      <c r="F7" s="15" t="n">
        <v>7.9</v>
      </c>
      <c r="G7" s="16" t="n">
        <v>0.3994506718435596</v>
      </c>
      <c r="H7" s="16" t="n">
        <v>1</v>
      </c>
      <c r="I7" s="16" t="n">
        <v>0.826</v>
      </c>
      <c r="J7" s="16" t="n">
        <v>0.713</v>
      </c>
      <c r="K7" s="16" t="n">
        <v>1</v>
      </c>
      <c r="L7" s="16" t="n">
        <v>0.3348</v>
      </c>
      <c r="M7" s="16" t="n">
        <v>0.099</v>
      </c>
      <c r="N7" s="16" t="n">
        <v>0.2787</v>
      </c>
      <c r="O7" s="16" t="n">
        <v>0.2708</v>
      </c>
      <c r="P7" s="15" t="n">
        <v>1.7</v>
      </c>
      <c r="Q7" s="16" t="n">
        <v>0.675</v>
      </c>
      <c r="R7" s="16" t="n">
        <v>0.727</v>
      </c>
      <c r="S7" s="15" t="n">
        <v>170.62</v>
      </c>
      <c r="T7" s="17" t="n">
        <v>5.8</v>
      </c>
      <c r="U7" s="17" t="n">
        <v>53.7</v>
      </c>
    </row>
    <row r="8">
      <c r="A8" s="13" t="inlineStr">
        <is>
          <t>fit500000_mcs1000_ms15_eom</t>
        </is>
      </c>
      <c r="B8" s="14" t="n">
        <v>500000</v>
      </c>
      <c r="C8" s="14" t="n">
        <v>1000</v>
      </c>
      <c r="D8" s="14" t="n">
        <v>15</v>
      </c>
      <c r="E8" s="14" t="n">
        <v>215</v>
      </c>
      <c r="F8" s="15" t="n">
        <v>6.62</v>
      </c>
      <c r="G8" s="16" t="n">
        <v>0.4156547947443766</v>
      </c>
      <c r="H8" s="16" t="n">
        <v>1</v>
      </c>
      <c r="I8" s="16" t="n">
        <v>0.827</v>
      </c>
      <c r="J8" s="16" t="n">
        <v>0.703</v>
      </c>
      <c r="K8" s="16" t="n">
        <v>1</v>
      </c>
      <c r="L8" s="16" t="n">
        <v>0.2945</v>
      </c>
      <c r="M8" s="16" t="n">
        <v>0.1254</v>
      </c>
      <c r="N8" s="16" t="n">
        <v>0.2757</v>
      </c>
      <c r="O8" s="16" t="n">
        <v>0.2718</v>
      </c>
      <c r="P8" s="15" t="n">
        <v>1.6</v>
      </c>
      <c r="Q8" s="16" t="n">
        <v>0.672</v>
      </c>
      <c r="R8" s="16" t="n">
        <v>0.712</v>
      </c>
      <c r="S8" s="15" t="n">
        <v>170.72</v>
      </c>
      <c r="T8" s="17" t="n">
        <v>5.3</v>
      </c>
      <c r="U8" s="17" t="n">
        <v>100.8</v>
      </c>
    </row>
    <row r="9">
      <c r="A9" s="13" t="inlineStr">
        <is>
          <t>fit500000_mcs2500_ms5_eom</t>
        </is>
      </c>
      <c r="B9" s="14" t="n">
        <v>500000</v>
      </c>
      <c r="C9" s="14" t="n">
        <v>2500</v>
      </c>
      <c r="D9" s="14" t="n">
        <v>5</v>
      </c>
      <c r="E9" s="14" t="n">
        <v>88</v>
      </c>
      <c r="F9" s="15" t="n">
        <v>12.5</v>
      </c>
      <c r="G9" s="16" t="n">
        <v>0.4451308518751905</v>
      </c>
      <c r="H9" s="16" t="n">
        <v>1</v>
      </c>
      <c r="I9" s="16" t="n">
        <v>0.82</v>
      </c>
      <c r="J9" s="16" t="n">
        <v>0.704</v>
      </c>
      <c r="K9" s="16" t="n">
        <v>0.2149</v>
      </c>
      <c r="L9" s="16" t="n">
        <v>0.3457</v>
      </c>
      <c r="M9" s="16" t="n">
        <v>0.1309</v>
      </c>
      <c r="N9" s="16" t="n">
        <v>0.2613</v>
      </c>
      <c r="O9" s="16" t="n">
        <v>0.2665</v>
      </c>
      <c r="P9" s="15" t="n">
        <v>0.9</v>
      </c>
      <c r="Q9" s="16" t="n">
        <v>0.57</v>
      </c>
      <c r="R9" s="16" t="n">
        <v>0.614</v>
      </c>
      <c r="S9" s="15" t="n">
        <v>170.38</v>
      </c>
      <c r="T9" s="17" t="n">
        <v>5.8</v>
      </c>
      <c r="U9" s="17" t="n">
        <v>53.7</v>
      </c>
    </row>
    <row r="10">
      <c r="A10" s="13" t="inlineStr">
        <is>
          <t>fit500000_mcs2500_ms15_eom</t>
        </is>
      </c>
      <c r="B10" s="14" t="n">
        <v>500000</v>
      </c>
      <c r="C10" s="14" t="n">
        <v>2500</v>
      </c>
      <c r="D10" s="14" t="n">
        <v>15</v>
      </c>
      <c r="E10" s="14" t="n">
        <v>89</v>
      </c>
      <c r="F10" s="15" t="n">
        <v>7.27</v>
      </c>
      <c r="G10" s="16" t="n">
        <v>0.4407456518740483</v>
      </c>
      <c r="H10" s="16" t="n">
        <v>1</v>
      </c>
      <c r="I10" s="16" t="n">
        <v>0.845</v>
      </c>
      <c r="J10" s="16" t="n">
        <v>0.735</v>
      </c>
      <c r="K10" s="16" t="n">
        <v>0.2252</v>
      </c>
      <c r="L10" s="16" t="n">
        <v>0.3462</v>
      </c>
      <c r="M10" s="16" t="n">
        <v>0.1006</v>
      </c>
      <c r="N10" s="16" t="n">
        <v>0.2749</v>
      </c>
      <c r="O10" s="16" t="n">
        <v>0.2844</v>
      </c>
      <c r="P10" s="15" t="n">
        <v>0</v>
      </c>
      <c r="Q10" s="16" t="n">
        <v>0.549</v>
      </c>
      <c r="R10" s="16" t="n">
        <v>0.629</v>
      </c>
      <c r="S10" s="15" t="n">
        <v>168.39</v>
      </c>
      <c r="T10" s="17" t="n">
        <v>5.3</v>
      </c>
      <c r="U10" s="17" t="n">
        <v>100.8</v>
      </c>
    </row>
    <row r="11">
      <c r="A11" s="13" t="inlineStr">
        <is>
          <t>fit1000000_mcs250_ms5_eom</t>
        </is>
      </c>
      <c r="B11" s="14" t="n">
        <v>1000000</v>
      </c>
      <c r="C11" s="14" t="n">
        <v>250</v>
      </c>
      <c r="D11" s="14" t="n">
        <v>5</v>
      </c>
      <c r="E11" s="14" t="n">
        <v>814</v>
      </c>
      <c r="F11" s="15" t="n">
        <v>16.83</v>
      </c>
      <c r="G11" s="16" t="n">
        <v>0.08810722948745413</v>
      </c>
      <c r="H11" s="16" t="n">
        <v>0.998</v>
      </c>
      <c r="I11" s="16" t="n">
        <v>0.75</v>
      </c>
      <c r="J11" s="16" t="n">
        <v>0.697</v>
      </c>
      <c r="K11" s="16" t="n">
        <v>1</v>
      </c>
      <c r="L11" s="16" t="n">
        <v>0.2595</v>
      </c>
      <c r="M11" s="16" t="n">
        <v>0.4178</v>
      </c>
      <c r="N11" s="16" t="n">
        <v>0.256</v>
      </c>
      <c r="O11" s="16" t="n">
        <v>0.2579</v>
      </c>
      <c r="P11" s="15" t="n">
        <v>2.1</v>
      </c>
      <c r="Q11" s="16" t="n">
        <v>0.894</v>
      </c>
      <c r="R11" s="16" t="n">
        <v>0.861</v>
      </c>
      <c r="S11" s="15" t="n">
        <v>175.5</v>
      </c>
      <c r="T11" s="17" t="n">
        <v>20.3</v>
      </c>
      <c r="U11" s="17" t="n">
        <v>69.8</v>
      </c>
    </row>
    <row r="12">
      <c r="A12" s="13" t="inlineStr">
        <is>
          <t>fit1000000_mcs250_ms15_eom</t>
        </is>
      </c>
      <c r="B12" s="14" t="n">
        <v>1000000</v>
      </c>
      <c r="C12" s="14" t="n">
        <v>250</v>
      </c>
      <c r="D12" s="14" t="n">
        <v>15</v>
      </c>
      <c r="E12" s="14" t="n">
        <v>735</v>
      </c>
      <c r="F12" s="15" t="n">
        <v>15.88</v>
      </c>
      <c r="G12" s="16" t="n">
        <v>0.2235896633035546</v>
      </c>
      <c r="H12" s="16" t="n">
        <v>0.999</v>
      </c>
      <c r="I12" s="16" t="n">
        <v>0.724</v>
      </c>
      <c r="J12" s="16" t="n">
        <v>0.608</v>
      </c>
      <c r="K12" s="16" t="n">
        <v>1</v>
      </c>
      <c r="L12" s="16" t="n">
        <v>0.3223</v>
      </c>
      <c r="M12" s="16" t="n">
        <v>0.2792</v>
      </c>
      <c r="N12" s="16" t="n">
        <v>0.2579</v>
      </c>
      <c r="O12" s="16" t="n">
        <v>0.2626</v>
      </c>
      <c r="P12" s="15" t="n">
        <v>2.5</v>
      </c>
      <c r="Q12" s="16" t="n">
        <v>0.897</v>
      </c>
      <c r="R12" s="16" t="n">
        <v>0.879</v>
      </c>
      <c r="S12" s="15" t="n">
        <v>175.45</v>
      </c>
      <c r="T12" s="17" t="n">
        <v>18.8</v>
      </c>
      <c r="U12" s="17" t="n">
        <v>125.5</v>
      </c>
    </row>
    <row r="13">
      <c r="A13" s="13" t="inlineStr">
        <is>
          <t>fit1000000_mcs500_ms5_eom</t>
        </is>
      </c>
      <c r="B13" s="14" t="n">
        <v>1000000</v>
      </c>
      <c r="C13" s="14" t="n">
        <v>500</v>
      </c>
      <c r="D13" s="14" t="n">
        <v>5</v>
      </c>
      <c r="E13" s="14" t="n">
        <v>584</v>
      </c>
      <c r="F13" s="15" t="n">
        <v>12.9</v>
      </c>
      <c r="G13" s="16" t="n">
        <v>0.1620538730942568</v>
      </c>
      <c r="H13" s="16" t="n">
        <v>0.999</v>
      </c>
      <c r="I13" s="16" t="n">
        <v>0.744</v>
      </c>
      <c r="J13" s="16" t="n">
        <v>0.6820000000000001</v>
      </c>
      <c r="K13" s="16" t="n">
        <v>1</v>
      </c>
      <c r="L13" s="16" t="n">
        <v>0.2768</v>
      </c>
      <c r="M13" s="16" t="n">
        <v>0.3336</v>
      </c>
      <c r="N13" s="16" t="n">
        <v>0.2684</v>
      </c>
      <c r="O13" s="16" t="n">
        <v>0.2619</v>
      </c>
      <c r="P13" s="15" t="n">
        <v>2.4</v>
      </c>
      <c r="Q13" s="16" t="n">
        <v>0.844</v>
      </c>
      <c r="R13" s="16" t="n">
        <v>0.846</v>
      </c>
      <c r="S13" s="15" t="n">
        <v>173.93</v>
      </c>
      <c r="T13" s="17" t="n">
        <v>20.3</v>
      </c>
      <c r="U13" s="17" t="n">
        <v>69</v>
      </c>
    </row>
    <row r="14">
      <c r="A14" s="13" t="inlineStr">
        <is>
          <t>fit1000000_mcs500_ms15_eom</t>
        </is>
      </c>
      <c r="B14" s="14" t="n">
        <v>1000000</v>
      </c>
      <c r="C14" s="14" t="n">
        <v>500</v>
      </c>
      <c r="D14" s="14" t="n">
        <v>15</v>
      </c>
      <c r="E14" s="14" t="n">
        <v>534</v>
      </c>
      <c r="F14" s="15" t="n">
        <v>10.89</v>
      </c>
      <c r="G14" s="16" t="n">
        <v>0.2974854901959106</v>
      </c>
      <c r="H14" s="16" t="n">
        <v>1</v>
      </c>
      <c r="I14" s="16" t="n">
        <v>0.736</v>
      </c>
      <c r="J14" s="16" t="n">
        <v>0.613</v>
      </c>
      <c r="K14" s="16" t="n">
        <v>1</v>
      </c>
      <c r="L14" s="16" t="n">
        <v>0.3303</v>
      </c>
      <c r="M14" s="16" t="n">
        <v>0.2098</v>
      </c>
      <c r="N14" s="16" t="n">
        <v>0.2752</v>
      </c>
      <c r="O14" s="16" t="n">
        <v>0.2618</v>
      </c>
      <c r="P14" s="15" t="n">
        <v>2</v>
      </c>
      <c r="Q14" s="16" t="n">
        <v>0.826</v>
      </c>
      <c r="R14" s="16" t="n">
        <v>0.843</v>
      </c>
      <c r="S14" s="15" t="n">
        <v>173.26</v>
      </c>
      <c r="T14" s="17" t="n">
        <v>18.8</v>
      </c>
      <c r="U14" s="17" t="n">
        <v>124.9</v>
      </c>
    </row>
    <row r="15">
      <c r="A15" s="13" t="inlineStr">
        <is>
          <t>fit1000000_mcs1000_ms5_eom</t>
        </is>
      </c>
      <c r="B15" s="14" t="n">
        <v>1000000</v>
      </c>
      <c r="C15" s="14" t="n">
        <v>1000</v>
      </c>
      <c r="D15" s="14" t="n">
        <v>5</v>
      </c>
      <c r="E15" s="14" t="n">
        <v>375</v>
      </c>
      <c r="F15" s="15" t="n">
        <v>10.69</v>
      </c>
      <c r="G15" s="16" t="n">
        <v>0.2966841395528104</v>
      </c>
      <c r="H15" s="16" t="n">
        <v>1</v>
      </c>
      <c r="I15" s="16" t="n">
        <v>0.787</v>
      </c>
      <c r="J15" s="16" t="n">
        <v>0.699</v>
      </c>
      <c r="K15" s="16" t="n">
        <v>1</v>
      </c>
      <c r="L15" s="16" t="n">
        <v>0.2845</v>
      </c>
      <c r="M15" s="16" t="n">
        <v>0.2095</v>
      </c>
      <c r="N15" s="16" t="n">
        <v>0.2725</v>
      </c>
      <c r="O15" s="16" t="n">
        <v>0.2629</v>
      </c>
      <c r="P15" s="15" t="n">
        <v>2</v>
      </c>
      <c r="Q15" s="16" t="n">
        <v>0.757</v>
      </c>
      <c r="R15" s="16" t="n">
        <v>0.8110000000000001</v>
      </c>
      <c r="S15" s="15" t="n">
        <v>172.38</v>
      </c>
      <c r="T15" s="17" t="n">
        <v>20.3</v>
      </c>
      <c r="U15" s="17" t="n">
        <v>68.40000000000001</v>
      </c>
    </row>
    <row r="16">
      <c r="A16" s="13" t="inlineStr">
        <is>
          <t>fit1000000_mcs1000_ms15_eom</t>
        </is>
      </c>
      <c r="B16" s="14" t="n">
        <v>1000000</v>
      </c>
      <c r="C16" s="14" t="n">
        <v>1000</v>
      </c>
      <c r="D16" s="14" t="n">
        <v>15</v>
      </c>
      <c r="E16" s="14" t="n">
        <v>357</v>
      </c>
      <c r="F16" s="15" t="n">
        <v>8.31</v>
      </c>
      <c r="G16" s="16" t="n">
        <v>0.3473321504815036</v>
      </c>
      <c r="H16" s="16" t="n">
        <v>1</v>
      </c>
      <c r="I16" s="16" t="n">
        <v>0.785</v>
      </c>
      <c r="J16" s="16" t="n">
        <v>0.661</v>
      </c>
      <c r="K16" s="16" t="n">
        <v>1</v>
      </c>
      <c r="L16" s="16" t="n">
        <v>0.3048</v>
      </c>
      <c r="M16" s="16" t="n">
        <v>0.1624</v>
      </c>
      <c r="N16" s="16" t="n">
        <v>0.27</v>
      </c>
      <c r="O16" s="16" t="n">
        <v>0.2657</v>
      </c>
      <c r="P16" s="15" t="n">
        <v>1.9</v>
      </c>
      <c r="Q16" s="16" t="n">
        <v>0.744</v>
      </c>
      <c r="R16" s="16" t="n">
        <v>0.798</v>
      </c>
      <c r="S16" s="15" t="n">
        <v>172.64</v>
      </c>
      <c r="T16" s="17" t="n">
        <v>18.8</v>
      </c>
      <c r="U16" s="17" t="n">
        <v>124.5</v>
      </c>
    </row>
    <row r="17">
      <c r="A17" s="13" t="inlineStr">
        <is>
          <t>fit1000000_mcs2500_ms5_eom</t>
        </is>
      </c>
      <c r="B17" s="14" t="n">
        <v>1000000</v>
      </c>
      <c r="C17" s="14" t="n">
        <v>2500</v>
      </c>
      <c r="D17" s="14" t="n">
        <v>5</v>
      </c>
      <c r="E17" s="14" t="n">
        <v>176</v>
      </c>
      <c r="F17" s="15" t="n">
        <v>8.24</v>
      </c>
      <c r="G17" s="16" t="n">
        <v>0.3945264946220602</v>
      </c>
      <c r="H17" s="16" t="n">
        <v>1</v>
      </c>
      <c r="I17" s="16" t="n">
        <v>0.8159999999999999</v>
      </c>
      <c r="J17" s="16" t="n">
        <v>0.722</v>
      </c>
      <c r="K17" s="16" t="n">
        <v>1</v>
      </c>
      <c r="L17" s="16" t="n">
        <v>0.3124</v>
      </c>
      <c r="M17" s="16" t="n">
        <v>0.161</v>
      </c>
      <c r="N17" s="16" t="n">
        <v>0.2806</v>
      </c>
      <c r="O17" s="16" t="n">
        <v>0.2756</v>
      </c>
      <c r="P17" s="15" t="n">
        <v>1.4</v>
      </c>
      <c r="Q17" s="16" t="n">
        <v>0.659</v>
      </c>
      <c r="R17" s="16" t="n">
        <v>0.67</v>
      </c>
      <c r="S17" s="15" t="n">
        <v>169.72</v>
      </c>
      <c r="T17" s="17" t="n">
        <v>20.3</v>
      </c>
      <c r="U17" s="17" t="n">
        <v>67.90000000000001</v>
      </c>
    </row>
    <row r="18">
      <c r="A18" s="18" t="inlineStr">
        <is>
          <t>fit1000000_mcs2500_ms15_eom</t>
        </is>
      </c>
      <c r="B18" s="19" t="n">
        <v>1000000</v>
      </c>
      <c r="C18" s="19" t="n">
        <v>2500</v>
      </c>
      <c r="D18" s="19" t="n">
        <v>15</v>
      </c>
      <c r="E18" s="19" t="n">
        <v>175</v>
      </c>
      <c r="F18" s="20" t="n">
        <v>7.36</v>
      </c>
      <c r="G18" s="21" t="n">
        <v>0.4313096992904942</v>
      </c>
      <c r="H18" s="21" t="n">
        <v>1</v>
      </c>
      <c r="I18" s="21" t="n">
        <v>0.828</v>
      </c>
      <c r="J18" s="21" t="n">
        <v>0.722</v>
      </c>
      <c r="K18" s="21" t="n">
        <v>1</v>
      </c>
      <c r="L18" s="21" t="n">
        <v>0.3174</v>
      </c>
      <c r="M18" s="21" t="n">
        <v>0.1077</v>
      </c>
      <c r="N18" s="21" t="n">
        <v>0.2804</v>
      </c>
      <c r="O18" s="21" t="n">
        <v>0.2774</v>
      </c>
      <c r="P18" s="20" t="n">
        <v>1.4</v>
      </c>
      <c r="Q18" s="21" t="n">
        <v>0.653</v>
      </c>
      <c r="R18" s="21" t="n">
        <v>0.663</v>
      </c>
      <c r="S18" s="20" t="n">
        <v>169.73</v>
      </c>
      <c r="T18" s="22" t="n">
        <v>18.8</v>
      </c>
      <c r="U18" s="22" t="n">
        <v>124.1</v>
      </c>
    </row>
    <row r="19">
      <c r="A19" s="13" t="inlineStr">
        <is>
          <t>fit5000000_mcs250_ms5_eom</t>
        </is>
      </c>
      <c r="B19" s="14" t="n">
        <v>5000000</v>
      </c>
      <c r="C19" s="14" t="n">
        <v>250</v>
      </c>
      <c r="D19" s="14" t="n">
        <v>5</v>
      </c>
      <c r="E19" s="14" t="n">
        <v>1096</v>
      </c>
      <c r="F19" s="15" t="n">
        <v>11.67</v>
      </c>
      <c r="G19" s="16" t="n">
        <v>0.01607309514655881</v>
      </c>
      <c r="H19" s="16" t="n">
        <v>0.998</v>
      </c>
      <c r="I19" s="16" t="n">
        <v>0.862</v>
      </c>
      <c r="J19" s="16" t="n">
        <v>0.853</v>
      </c>
      <c r="K19" s="16" t="n">
        <v>1</v>
      </c>
      <c r="L19" s="16" t="n">
        <v>0.2142</v>
      </c>
      <c r="M19" s="16" t="n">
        <v>0.5229</v>
      </c>
      <c r="N19" s="16" t="n">
        <v>0.2569</v>
      </c>
      <c r="O19" s="16" t="n">
        <v>0.2567</v>
      </c>
      <c r="P19" s="15" t="n">
        <v>2.2</v>
      </c>
      <c r="Q19" s="16" t="n">
        <v>0.873</v>
      </c>
      <c r="R19" s="16" t="n">
        <v>0.854</v>
      </c>
      <c r="S19" s="15" t="n">
        <v>175.49</v>
      </c>
      <c r="T19" s="17" t="n">
        <v>457.9</v>
      </c>
      <c r="U19" s="17" t="n">
        <v>154.4</v>
      </c>
    </row>
    <row r="20">
      <c r="A20" s="13" t="inlineStr">
        <is>
          <t>fit5000000_mcs250_ms15_eom</t>
        </is>
      </c>
      <c r="B20" s="14" t="n">
        <v>5000000</v>
      </c>
      <c r="C20" s="14" t="n">
        <v>250</v>
      </c>
      <c r="D20" s="14" t="n">
        <v>15</v>
      </c>
      <c r="E20" s="14" t="n">
        <v>1330</v>
      </c>
      <c r="F20" s="15" t="n">
        <v>19.43</v>
      </c>
      <c r="G20" s="16" t="n">
        <v>0.001472369268413223</v>
      </c>
      <c r="H20" s="16" t="n">
        <v>0.998</v>
      </c>
      <c r="I20" s="16" t="n">
        <v>0.768</v>
      </c>
      <c r="J20" s="16" t="n">
        <v>0.742</v>
      </c>
      <c r="K20" s="16" t="n">
        <v>1</v>
      </c>
      <c r="L20" s="16" t="n">
        <v>0.197</v>
      </c>
      <c r="M20" s="16" t="n">
        <v>0.5117</v>
      </c>
      <c r="N20" s="16" t="n">
        <v>0.2443</v>
      </c>
      <c r="O20" s="16" t="n">
        <v>0.2611</v>
      </c>
      <c r="P20" s="15" t="n">
        <v>2.6</v>
      </c>
      <c r="Q20" s="16" t="n">
        <v>0.917</v>
      </c>
      <c r="R20" s="16" t="n">
        <v>0.876</v>
      </c>
      <c r="S20" s="15" t="n">
        <v>176.92</v>
      </c>
      <c r="T20" s="17" t="n">
        <v>460.1</v>
      </c>
      <c r="U20" s="17" t="n">
        <v>300.8</v>
      </c>
    </row>
    <row r="21">
      <c r="A21" s="13" t="inlineStr">
        <is>
          <t>fit5000000_mcs500_ms5_eom</t>
        </is>
      </c>
      <c r="B21" s="14" t="n">
        <v>5000000</v>
      </c>
      <c r="C21" s="14" t="n">
        <v>500</v>
      </c>
      <c r="D21" s="14" t="n">
        <v>5</v>
      </c>
      <c r="E21" s="14" t="n">
        <v>856</v>
      </c>
      <c r="F21" s="15" t="n">
        <v>10.63</v>
      </c>
      <c r="G21" s="16" t="n">
        <v>0.06872154786232307</v>
      </c>
      <c r="H21" s="16" t="n">
        <v>0.999</v>
      </c>
      <c r="I21" s="16" t="n">
        <v>0.855</v>
      </c>
      <c r="J21" s="16" t="n">
        <v>0.845</v>
      </c>
      <c r="K21" s="16" t="n">
        <v>1</v>
      </c>
      <c r="L21" s="16" t="n">
        <v>0.2347</v>
      </c>
      <c r="M21" s="16" t="n">
        <v>0.4645</v>
      </c>
      <c r="N21" s="16" t="n">
        <v>0.2628</v>
      </c>
      <c r="O21" s="16" t="n">
        <v>0.2576</v>
      </c>
      <c r="P21" s="15" t="n">
        <v>2.3</v>
      </c>
      <c r="Q21" s="16" t="n">
        <v>0.864</v>
      </c>
      <c r="R21" s="16" t="n">
        <v>0.848</v>
      </c>
      <c r="S21" s="15" t="n">
        <v>174.87</v>
      </c>
      <c r="T21" s="17" t="n">
        <v>456.6</v>
      </c>
      <c r="U21" s="17" t="n">
        <v>152.9</v>
      </c>
    </row>
    <row r="22">
      <c r="A22" s="13" t="inlineStr">
        <is>
          <t>fit5000000_mcs500_ms15_eom</t>
        </is>
      </c>
      <c r="B22" s="14" t="n">
        <v>5000000</v>
      </c>
      <c r="C22" s="14" t="n">
        <v>500</v>
      </c>
      <c r="D22" s="14" t="n">
        <v>15</v>
      </c>
      <c r="E22" s="14" t="n">
        <v>1008</v>
      </c>
      <c r="F22" s="15" t="n">
        <v>17.11</v>
      </c>
      <c r="G22" s="16" t="n">
        <v>0.0547015692030264</v>
      </c>
      <c r="H22" s="16" t="n">
        <v>0.999</v>
      </c>
      <c r="I22" s="16" t="n">
        <v>0.762</v>
      </c>
      <c r="J22" s="16" t="n">
        <v>0.731</v>
      </c>
      <c r="K22" s="16" t="n">
        <v>1</v>
      </c>
      <c r="L22" s="16" t="n">
        <v>0.2466</v>
      </c>
      <c r="M22" s="16" t="n">
        <v>0.4598</v>
      </c>
      <c r="N22" s="16" t="n">
        <v>0.2548</v>
      </c>
      <c r="O22" s="16" t="n">
        <v>0.2609</v>
      </c>
      <c r="P22" s="15" t="n">
        <v>2.6</v>
      </c>
      <c r="Q22" s="16" t="n">
        <v>0.918</v>
      </c>
      <c r="R22" s="16" t="n">
        <v>0.873</v>
      </c>
      <c r="S22" s="15" t="n">
        <v>175.88</v>
      </c>
      <c r="T22" s="17" t="n">
        <v>459.8</v>
      </c>
      <c r="U22" s="17" t="n">
        <v>300.7</v>
      </c>
    </row>
    <row r="23">
      <c r="A23" s="13" t="inlineStr">
        <is>
          <t>fit5000000_mcs1000_ms5_eom</t>
        </is>
      </c>
      <c r="B23" s="14" t="n">
        <v>5000000</v>
      </c>
      <c r="C23" s="14" t="n">
        <v>1000</v>
      </c>
      <c r="D23" s="14" t="n">
        <v>5</v>
      </c>
      <c r="E23" s="14" t="n">
        <v>692</v>
      </c>
      <c r="F23" s="15" t="n">
        <v>9.32</v>
      </c>
      <c r="G23" s="16" t="n">
        <v>0.1131530869478111</v>
      </c>
      <c r="H23" s="16" t="n">
        <v>0.999</v>
      </c>
      <c r="I23" s="16" t="n">
        <v>0.842</v>
      </c>
      <c r="J23" s="16" t="n">
        <v>0.833</v>
      </c>
      <c r="K23" s="16" t="n">
        <v>1</v>
      </c>
      <c r="L23" s="16" t="n">
        <v>0.2518</v>
      </c>
      <c r="M23" s="16" t="n">
        <v>0.4077</v>
      </c>
      <c r="N23" s="16" t="n">
        <v>0.2631</v>
      </c>
      <c r="O23" s="16" t="n">
        <v>0.2588</v>
      </c>
      <c r="P23" s="15" t="n">
        <v>2.3</v>
      </c>
      <c r="Q23" s="16" t="n">
        <v>0.868</v>
      </c>
      <c r="R23" s="16" t="n">
        <v>0.847</v>
      </c>
      <c r="S23" s="15" t="n">
        <v>174.71</v>
      </c>
      <c r="T23" s="17" t="n">
        <v>457.7</v>
      </c>
      <c r="U23" s="17" t="n">
        <v>151.6</v>
      </c>
    </row>
    <row r="24">
      <c r="A24" s="13" t="inlineStr">
        <is>
          <t>fit5000000_mcs1000_ms15_eom</t>
        </is>
      </c>
      <c r="B24" s="14" t="n">
        <v>5000000</v>
      </c>
      <c r="C24" s="14" t="n">
        <v>1000</v>
      </c>
      <c r="D24" s="14" t="n">
        <v>15</v>
      </c>
      <c r="E24" s="14" t="n">
        <v>784</v>
      </c>
      <c r="F24" s="15" t="n">
        <v>14.39</v>
      </c>
      <c r="G24" s="16" t="n">
        <v>0.1260209034504625</v>
      </c>
      <c r="H24" s="16" t="n">
        <v>0.999</v>
      </c>
      <c r="I24" s="16" t="n">
        <v>0.759</v>
      </c>
      <c r="J24" s="16" t="n">
        <v>0.726</v>
      </c>
      <c r="K24" s="16" t="n">
        <v>1</v>
      </c>
      <c r="L24" s="16" t="n">
        <v>0.2453</v>
      </c>
      <c r="M24" s="16" t="n">
        <v>0.3972</v>
      </c>
      <c r="N24" s="16" t="n">
        <v>0.2599</v>
      </c>
      <c r="O24" s="16" t="n">
        <v>0.2604</v>
      </c>
      <c r="P24" s="15" t="n">
        <v>2.6</v>
      </c>
      <c r="Q24" s="16" t="n">
        <v>0.908</v>
      </c>
      <c r="R24" s="16" t="n">
        <v>0.867</v>
      </c>
      <c r="S24" s="15" t="n">
        <v>175.1</v>
      </c>
      <c r="T24" s="17" t="n">
        <v>459.8</v>
      </c>
      <c r="U24" s="17" t="n">
        <v>298</v>
      </c>
    </row>
    <row r="25">
      <c r="A25" s="13" t="inlineStr">
        <is>
          <t>fit5000000_mcs2500_ms5_eom</t>
        </is>
      </c>
      <c r="B25" s="14" t="n">
        <v>5000000</v>
      </c>
      <c r="C25" s="14" t="n">
        <v>2500</v>
      </c>
      <c r="D25" s="14" t="n">
        <v>5</v>
      </c>
      <c r="E25" s="14" t="n">
        <v>513</v>
      </c>
      <c r="F25" s="15" t="n">
        <v>8.77</v>
      </c>
      <c r="G25" s="16" t="n">
        <v>0.2000516839518017</v>
      </c>
      <c r="H25" s="16" t="n">
        <v>1</v>
      </c>
      <c r="I25" s="16" t="n">
        <v>0.839</v>
      </c>
      <c r="J25" s="16" t="n">
        <v>0.826</v>
      </c>
      <c r="K25" s="16" t="n">
        <v>1</v>
      </c>
      <c r="L25" s="16" t="n">
        <v>0.2624</v>
      </c>
      <c r="M25" s="16" t="n">
        <v>0.32</v>
      </c>
      <c r="N25" s="16" t="n">
        <v>0.2798</v>
      </c>
      <c r="O25" s="16" t="n">
        <v>0.2607</v>
      </c>
      <c r="P25" s="15" t="n">
        <v>2.3</v>
      </c>
      <c r="Q25" s="16" t="n">
        <v>0.8120000000000001</v>
      </c>
      <c r="R25" s="16" t="n">
        <v>0.836</v>
      </c>
      <c r="S25" s="15" t="n">
        <v>172.78</v>
      </c>
      <c r="T25" s="17" t="n">
        <v>456.9</v>
      </c>
      <c r="U25" s="17" t="n">
        <v>150.3</v>
      </c>
    </row>
    <row r="26">
      <c r="A26" s="13" t="inlineStr">
        <is>
          <t>fit5000000_mcs2500_ms15_eom</t>
        </is>
      </c>
      <c r="B26" s="14" t="n">
        <v>5000000</v>
      </c>
      <c r="C26" s="14" t="n">
        <v>2500</v>
      </c>
      <c r="D26" s="14" t="n">
        <v>15</v>
      </c>
      <c r="E26" s="14" t="n">
        <v>548</v>
      </c>
      <c r="F26" s="15" t="n">
        <v>11.25</v>
      </c>
      <c r="G26" s="16" t="n">
        <v>0.1973877711147611</v>
      </c>
      <c r="H26" s="16" t="n">
        <v>1</v>
      </c>
      <c r="I26" s="16" t="n">
        <v>0.771</v>
      </c>
      <c r="J26" s="16" t="n">
        <v>0.732</v>
      </c>
      <c r="K26" s="16" t="n">
        <v>1</v>
      </c>
      <c r="L26" s="16" t="n">
        <v>0.3044</v>
      </c>
      <c r="M26" s="16" t="n">
        <v>0.3093</v>
      </c>
      <c r="N26" s="16" t="n">
        <v>0.275</v>
      </c>
      <c r="O26" s="16" t="n">
        <v>0.2605</v>
      </c>
      <c r="P26" s="15" t="n">
        <v>2.1</v>
      </c>
      <c r="Q26" s="16" t="n">
        <v>0.826</v>
      </c>
      <c r="R26" s="16" t="n">
        <v>0.847</v>
      </c>
      <c r="S26" s="15" t="n">
        <v>173.25</v>
      </c>
      <c r="T26" s="17" t="n">
        <v>459.7</v>
      </c>
      <c r="U26" s="17" t="n">
        <v>297</v>
      </c>
    </row>
    <row r="27">
      <c r="A27" s="13" t="inlineStr">
        <is>
          <t>fit25000000_mcs250_ms5_eom</t>
        </is>
      </c>
      <c r="B27" s="14" t="n">
        <v>25000000</v>
      </c>
      <c r="C27" s="14" t="n">
        <v>250</v>
      </c>
      <c r="D27" s="14" t="n">
        <v>5</v>
      </c>
      <c r="E27" s="14" t="n">
        <v>872</v>
      </c>
      <c r="F27" s="15" t="n">
        <v>3.97</v>
      </c>
      <c r="G27" s="16" t="n">
        <v>0.05959473107686527</v>
      </c>
      <c r="H27" s="16" t="n">
        <v>1</v>
      </c>
      <c r="I27" s="16" t="n">
        <v>0.955</v>
      </c>
      <c r="J27" s="16" t="n">
        <v>0.955</v>
      </c>
      <c r="K27" s="16" t="n">
        <v>1</v>
      </c>
      <c r="L27" s="23" t="inlineStr">
        <is>
          <t>25M only</t>
        </is>
      </c>
      <c r="M27" s="23" t="inlineStr">
        <is>
          <t>25M only</t>
        </is>
      </c>
      <c r="N27" s="16" t="n">
        <v>0.3172</v>
      </c>
      <c r="O27" s="16" t="n">
        <v>0.2625</v>
      </c>
      <c r="P27" s="15" t="n">
        <v>1.3</v>
      </c>
      <c r="Q27" s="16" t="n">
        <v>0.777</v>
      </c>
      <c r="R27" s="16" t="n">
        <v>0.804</v>
      </c>
      <c r="S27" s="15" t="n">
        <v>169.81</v>
      </c>
      <c r="T27" s="17" t="n">
        <v>11651.7</v>
      </c>
      <c r="U27" s="17" t="n">
        <v>406.4</v>
      </c>
    </row>
    <row r="28">
      <c r="A28" s="13" t="inlineStr">
        <is>
          <t>fit25000000_mcs500_ms5_eom</t>
        </is>
      </c>
      <c r="B28" s="14" t="n">
        <v>25000000</v>
      </c>
      <c r="C28" s="14" t="n">
        <v>500</v>
      </c>
      <c r="D28" s="14" t="n">
        <v>5</v>
      </c>
      <c r="E28" s="14" t="n">
        <v>634</v>
      </c>
      <c r="F28" s="15" t="n">
        <v>3.64</v>
      </c>
      <c r="G28" s="16" t="n">
        <v>0.1589336509775593</v>
      </c>
      <c r="H28" s="16" t="n">
        <v>1</v>
      </c>
      <c r="I28" s="16" t="n">
        <v>0.951</v>
      </c>
      <c r="J28" s="16" t="n">
        <v>0.95</v>
      </c>
      <c r="K28" s="16" t="n">
        <v>1</v>
      </c>
      <c r="L28" s="23" t="inlineStr">
        <is>
          <t>25M only</t>
        </is>
      </c>
      <c r="M28" s="23" t="inlineStr">
        <is>
          <t>25M only</t>
        </is>
      </c>
      <c r="N28" s="16" t="n">
        <v>0.305</v>
      </c>
      <c r="O28" s="16" t="n">
        <v>0.2629</v>
      </c>
      <c r="P28" s="15" t="n">
        <v>1.4</v>
      </c>
      <c r="Q28" s="16" t="n">
        <v>0.8080000000000001</v>
      </c>
      <c r="R28" s="16" t="n">
        <v>0.826</v>
      </c>
      <c r="S28" s="15" t="n">
        <v>170.77</v>
      </c>
      <c r="T28" s="17" t="n">
        <v>11619.5</v>
      </c>
      <c r="U28" s="17" t="n">
        <v>403.1</v>
      </c>
    </row>
    <row r="29">
      <c r="A29" s="13" t="inlineStr">
        <is>
          <t>fit25000000_mcs1000_ms5_eom</t>
        </is>
      </c>
      <c r="B29" s="14" t="n">
        <v>25000000</v>
      </c>
      <c r="C29" s="14" t="n">
        <v>1000</v>
      </c>
      <c r="D29" s="14" t="n">
        <v>5</v>
      </c>
      <c r="E29" s="14" t="n">
        <v>517</v>
      </c>
      <c r="F29" s="15" t="n">
        <v>3.38</v>
      </c>
      <c r="G29" s="16" t="n">
        <v>0.1862592371131105</v>
      </c>
      <c r="H29" s="16" t="n">
        <v>1</v>
      </c>
      <c r="I29" s="16" t="n">
        <v>0.948</v>
      </c>
      <c r="J29" s="16" t="n">
        <v>0.947</v>
      </c>
      <c r="K29" s="16" t="n">
        <v>1</v>
      </c>
      <c r="L29" s="23" t="inlineStr">
        <is>
          <t>25M only</t>
        </is>
      </c>
      <c r="M29" s="23" t="inlineStr">
        <is>
          <t>25M only</t>
        </is>
      </c>
      <c r="N29" s="16" t="n">
        <v>0.2996</v>
      </c>
      <c r="O29" s="16" t="n">
        <v>0.2636</v>
      </c>
      <c r="P29" s="15" t="n">
        <v>1.4</v>
      </c>
      <c r="Q29" s="16" t="n">
        <v>0.8090000000000001</v>
      </c>
      <c r="R29" s="16" t="n">
        <v>0.822</v>
      </c>
      <c r="S29" s="15" t="n">
        <v>170.83</v>
      </c>
      <c r="T29" s="17" t="n">
        <v>11638.1</v>
      </c>
      <c r="U29" s="17" t="n">
        <v>411.6</v>
      </c>
    </row>
    <row r="30">
      <c r="A30" s="18" t="inlineStr">
        <is>
          <t>fit25000000_mcs2500_ms5_eom</t>
        </is>
      </c>
      <c r="B30" s="19" t="n">
        <v>25000000</v>
      </c>
      <c r="C30" s="19" t="n">
        <v>2500</v>
      </c>
      <c r="D30" s="19" t="n">
        <v>5</v>
      </c>
      <c r="E30" s="19" t="n">
        <v>441</v>
      </c>
      <c r="F30" s="20" t="n">
        <v>3.19</v>
      </c>
      <c r="G30" s="21" t="n">
        <v>0.2265877478074926</v>
      </c>
      <c r="H30" s="21" t="n">
        <v>1</v>
      </c>
      <c r="I30" s="21" t="n">
        <v>0.946</v>
      </c>
      <c r="J30" s="21" t="n">
        <v>0.945</v>
      </c>
      <c r="K30" s="21" t="n">
        <v>1</v>
      </c>
      <c r="L30" s="24" t="inlineStr">
        <is>
          <t>25M only</t>
        </is>
      </c>
      <c r="M30" s="24" t="inlineStr">
        <is>
          <t>25M only</t>
        </is>
      </c>
      <c r="N30" s="21" t="n">
        <v>0.3031</v>
      </c>
      <c r="O30" s="21" t="n">
        <v>0.2646</v>
      </c>
      <c r="P30" s="20" t="n">
        <v>1.3</v>
      </c>
      <c r="Q30" s="21" t="n">
        <v>0.785</v>
      </c>
      <c r="R30" s="21" t="n">
        <v>0.819</v>
      </c>
      <c r="S30" s="20" t="n">
        <v>170.56</v>
      </c>
      <c r="T30" s="22" t="n">
        <v>11659.6</v>
      </c>
      <c r="U30" s="22" t="n">
        <v>399.4</v>
      </c>
    </row>
    <row r="32">
      <c r="A32" s="25" t="inlineStr">
        <is>
          <t>Bold rows = recommended cells  |  Yellow cells = metric unavailable for 25M fit-size rows (cuML only, no CPU pass ran)</t>
        </is>
      </c>
    </row>
  </sheetData>
  <mergeCells count="6">
    <mergeCell ref="N1:T1"/>
    <mergeCell ref="A1:F1"/>
    <mergeCell ref="G1:K1"/>
    <mergeCell ref="L1:M1"/>
    <mergeCell ref="U1:V1"/>
    <mergeCell ref="A32:U32"/>
  </mergeCells>
  <conditionalFormatting sqref="G3:G30">
    <cfRule type="colorScale" priority="1">
      <colorScale>
        <cfvo type="min"/>
        <cfvo type="percentile" val="50"/>
        <cfvo type="max"/>
        <color rgb="00FFC7CE"/>
        <color rgb="00FFEB9C"/>
        <color rgb="00C6EFCE"/>
      </colorScale>
    </cfRule>
  </conditionalFormatting>
  <conditionalFormatting sqref="M3:M30">
    <cfRule type="colorScale" priority="2">
      <colorScale>
        <cfvo type="min"/>
        <cfvo type="percentile" val="50"/>
        <cfvo type="max"/>
        <color rgb="00C6EFCE"/>
        <color rgb="00FFEB9C"/>
        <color rgb="00FFC7CE"/>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
  <sheetViews>
    <sheetView showGridLines="0" workbookViewId="0">
      <pane ySplit="2" topLeftCell="A3" activePane="bottomLeft" state="frozen"/>
      <selection pane="bottomLeft" activeCell="A1" sqref="A1"/>
    </sheetView>
  </sheetViews>
  <sheetFormatPr baseColWidth="8" defaultRowHeight="15"/>
  <cols>
    <col width="30" customWidth="1" min="1" max="1"/>
    <col width="12" customWidth="1" min="2" max="2"/>
    <col width="16" customWidth="1" min="3" max="3"/>
    <col width="12" customWidth="1" min="4" max="4"/>
    <col width="14" customWidth="1" min="5" max="5"/>
    <col width="16" customWidth="1" min="6" max="6"/>
    <col width="15" customWidth="1" min="7" max="7"/>
    <col width="13" customWidth="1" min="8" max="8"/>
    <col width="15" customWidth="1" min="9" max="9"/>
    <col width="14" customWidth="1" min="10" max="10"/>
    <col width="13" customWidth="1" min="11" max="11"/>
    <col width="14" customWidth="1" min="12" max="12"/>
  </cols>
  <sheetData>
    <row r="1" ht="18" customHeight="1">
      <c r="A1" s="6" t="inlineStr">
        <is>
          <t>Cell</t>
        </is>
      </c>
      <c r="B1" s="3" t="n"/>
      <c r="C1" s="9" t="inlineStr">
        <is>
          <t>Density quality (CPU unlocks full picture)</t>
        </is>
      </c>
      <c r="D1" s="7" t="n"/>
      <c r="E1" s="7" t="n"/>
      <c r="F1" s="3" t="n"/>
      <c r="G1" s="8" t="inlineStr">
        <is>
          <t>Persistence distribution</t>
        </is>
      </c>
      <c r="H1" s="7" t="n"/>
      <c r="I1" s="7" t="n"/>
      <c r="J1" s="3" t="n"/>
      <c r="K1" s="10" t="inlineStr">
        <is>
          <t>Outlier scores</t>
        </is>
      </c>
      <c r="L1" s="3" t="n"/>
    </row>
    <row r="2" ht="42" customHeight="1">
      <c r="A2" s="12" t="inlineStr">
        <is>
          <t>Cell ID</t>
        </is>
      </c>
      <c r="B2" s="12" t="inlineStr">
        <is>
          <t>N clusters
(excl. noise)</t>
        </is>
      </c>
      <c r="C2" s="12" t="inlineStr">
        <is>
          <t>Relative validity
(model attr.)</t>
        </is>
      </c>
      <c r="D2" s="12" t="inlineStr">
        <is>
          <t>DBCV
(both backends)</t>
        </is>
      </c>
      <c r="E2" s="12" t="inlineStr">
        <is>
          <t>Frac clusters
neg. DBCV</t>
        </is>
      </c>
      <c r="F2" s="12" t="inlineStr">
        <is>
          <t>Frac points in
neg-DBCV cluster</t>
        </is>
      </c>
      <c r="G2" s="12" t="inlineStr">
        <is>
          <t>Persistence
min across clusters</t>
        </is>
      </c>
      <c r="H2" s="12" t="inlineStr">
        <is>
          <t>Persistence
median</t>
        </is>
      </c>
      <c r="I2" s="12" t="inlineStr">
        <is>
          <t>Persistence
max across clusters</t>
        </is>
      </c>
      <c r="J2" s="12" t="inlineStr">
        <is>
          <t>Frac clusters
persist = 1.0</t>
        </is>
      </c>
      <c r="K2" s="12" t="inlineStr">
        <is>
          <t>Outlier score
median (p50)</t>
        </is>
      </c>
      <c r="L2" s="12" t="inlineStr">
        <is>
          <t>Outlier score
99th pct (p99)</t>
        </is>
      </c>
    </row>
    <row r="3">
      <c r="A3" s="13" t="inlineStr">
        <is>
          <t>fit500000_mcs250_ms5_eom</t>
        </is>
      </c>
      <c r="B3" s="14" t="n">
        <v>560</v>
      </c>
      <c r="C3" s="26" t="n">
        <v>0.2935</v>
      </c>
      <c r="D3" s="26" t="n">
        <v>0.1890586063029621</v>
      </c>
      <c r="E3" s="26" t="n">
        <v>0.3232</v>
      </c>
      <c r="F3" s="26" t="n">
        <v>0.3276</v>
      </c>
      <c r="G3" s="27" t="n">
        <v>1</v>
      </c>
      <c r="H3" s="27" t="n">
        <v>1</v>
      </c>
      <c r="I3" s="27" t="n">
        <v>1</v>
      </c>
      <c r="J3" s="27" t="n">
        <v>1</v>
      </c>
      <c r="K3" s="26" t="n">
        <v>0</v>
      </c>
      <c r="L3" s="26" t="n">
        <v>1</v>
      </c>
    </row>
    <row r="4">
      <c r="A4" s="13" t="inlineStr">
        <is>
          <t>fit500000_mcs250_ms15_eom</t>
        </is>
      </c>
      <c r="B4" s="14" t="n">
        <v>518</v>
      </c>
      <c r="C4" s="26" t="n">
        <v>0.3176</v>
      </c>
      <c r="D4" s="26" t="n">
        <v>0.3286192958739054</v>
      </c>
      <c r="E4" s="26" t="n">
        <v>0.1274</v>
      </c>
      <c r="F4" s="26" t="n">
        <v>0.1575</v>
      </c>
      <c r="G4" s="27" t="n">
        <v>1</v>
      </c>
      <c r="H4" s="27" t="n">
        <v>1</v>
      </c>
      <c r="I4" s="27" t="n">
        <v>1</v>
      </c>
      <c r="J4" s="27" t="n">
        <v>1</v>
      </c>
      <c r="K4" s="26" t="n">
        <v>0.2254</v>
      </c>
      <c r="L4" s="26" t="n">
        <v>1</v>
      </c>
    </row>
    <row r="5">
      <c r="A5" s="13" t="inlineStr">
        <is>
          <t>fit500000_mcs500_ms5_eom</t>
        </is>
      </c>
      <c r="B5" s="14" t="n">
        <v>363</v>
      </c>
      <c r="C5" s="26" t="n">
        <v>0.2994</v>
      </c>
      <c r="D5" s="26" t="n">
        <v>0.243984594501286</v>
      </c>
      <c r="E5" s="26" t="n">
        <v>0.2424</v>
      </c>
      <c r="F5" s="26" t="n">
        <v>0.2533</v>
      </c>
      <c r="G5" s="27" t="n">
        <v>1</v>
      </c>
      <c r="H5" s="27" t="n">
        <v>1</v>
      </c>
      <c r="I5" s="27" t="n">
        <v>1</v>
      </c>
      <c r="J5" s="27" t="n">
        <v>1</v>
      </c>
      <c r="K5" s="26" t="n">
        <v>0</v>
      </c>
      <c r="L5" s="26" t="n">
        <v>1</v>
      </c>
    </row>
    <row r="6">
      <c r="A6" s="13" t="inlineStr">
        <is>
          <t>fit500000_mcs500_ms15_eom</t>
        </is>
      </c>
      <c r="B6" s="14" t="n">
        <v>348</v>
      </c>
      <c r="C6" s="26" t="n">
        <v>0.2963</v>
      </c>
      <c r="D6" s="26" t="n">
        <v>0.3364573014347578</v>
      </c>
      <c r="E6" s="26" t="n">
        <v>0.1523</v>
      </c>
      <c r="F6" s="26" t="n">
        <v>0.1791</v>
      </c>
      <c r="G6" s="27" t="n">
        <v>1</v>
      </c>
      <c r="H6" s="27" t="n">
        <v>1</v>
      </c>
      <c r="I6" s="27" t="n">
        <v>1</v>
      </c>
      <c r="J6" s="27" t="n">
        <v>1</v>
      </c>
      <c r="K6" s="26" t="n">
        <v>0.08260000000000001</v>
      </c>
      <c r="L6" s="26" t="n">
        <v>1</v>
      </c>
    </row>
    <row r="7">
      <c r="A7" s="13" t="inlineStr">
        <is>
          <t>fit500000_mcs1000_ms5_eom</t>
        </is>
      </c>
      <c r="B7" s="14" t="n">
        <v>220</v>
      </c>
      <c r="C7" s="26" t="n">
        <v>0.3348</v>
      </c>
      <c r="D7" s="26" t="n">
        <v>0.3994506718435596</v>
      </c>
      <c r="E7" s="26" t="n">
        <v>0.1136</v>
      </c>
      <c r="F7" s="26" t="n">
        <v>0.099</v>
      </c>
      <c r="G7" s="27" t="n">
        <v>1</v>
      </c>
      <c r="H7" s="27" t="n">
        <v>1</v>
      </c>
      <c r="I7" s="27" t="n">
        <v>1</v>
      </c>
      <c r="J7" s="27" t="n">
        <v>1</v>
      </c>
      <c r="K7" s="26" t="n">
        <v>0</v>
      </c>
      <c r="L7" s="26" t="n">
        <v>1</v>
      </c>
    </row>
    <row r="8">
      <c r="A8" s="13" t="inlineStr">
        <is>
          <t>fit500000_mcs1000_ms15_eom</t>
        </is>
      </c>
      <c r="B8" s="14" t="n">
        <v>215</v>
      </c>
      <c r="C8" s="26" t="n">
        <v>0.2945</v>
      </c>
      <c r="D8" s="26" t="n">
        <v>0.4156547947443766</v>
      </c>
      <c r="E8" s="26" t="n">
        <v>0.1163</v>
      </c>
      <c r="F8" s="26" t="n">
        <v>0.1254</v>
      </c>
      <c r="G8" s="27" t="n">
        <v>1</v>
      </c>
      <c r="H8" s="27" t="n">
        <v>1</v>
      </c>
      <c r="I8" s="27" t="n">
        <v>1</v>
      </c>
      <c r="J8" s="27" t="n">
        <v>1</v>
      </c>
      <c r="K8" s="26" t="n">
        <v>0</v>
      </c>
      <c r="L8" s="26" t="n">
        <v>1</v>
      </c>
    </row>
    <row r="9">
      <c r="A9" s="13" t="inlineStr">
        <is>
          <t>fit500000_mcs2500_ms5_eom</t>
        </is>
      </c>
      <c r="B9" s="14" t="n">
        <v>88</v>
      </c>
      <c r="C9" s="26" t="n">
        <v>0.3457</v>
      </c>
      <c r="D9" s="26" t="n">
        <v>0.4451308518751905</v>
      </c>
      <c r="E9" s="26" t="n">
        <v>0.1136</v>
      </c>
      <c r="F9" s="26" t="n">
        <v>0.1309</v>
      </c>
      <c r="G9" s="26" t="n">
        <v>0.0035</v>
      </c>
      <c r="H9" s="26" t="n">
        <v>0.1949</v>
      </c>
      <c r="I9" s="26" t="n">
        <v>0.9375</v>
      </c>
      <c r="J9" s="26" t="n">
        <v>0</v>
      </c>
      <c r="K9" s="26" t="n">
        <v>0</v>
      </c>
      <c r="L9" s="26" t="n">
        <v>0.9788</v>
      </c>
    </row>
    <row r="10">
      <c r="A10" s="13" t="inlineStr">
        <is>
          <t>fit500000_mcs2500_ms15_eom</t>
        </is>
      </c>
      <c r="B10" s="14" t="n">
        <v>89</v>
      </c>
      <c r="C10" s="26" t="n">
        <v>0.3462</v>
      </c>
      <c r="D10" s="26" t="n">
        <v>0.4407456518740483</v>
      </c>
      <c r="E10" s="26" t="n">
        <v>0.07870000000000001</v>
      </c>
      <c r="F10" s="26" t="n">
        <v>0.1006</v>
      </c>
      <c r="G10" s="26" t="n">
        <v>0.0104</v>
      </c>
      <c r="H10" s="26" t="n">
        <v>0.2004</v>
      </c>
      <c r="I10" s="26" t="n">
        <v>0.9256</v>
      </c>
      <c r="J10" s="26" t="n">
        <v>0</v>
      </c>
      <c r="K10" s="26" t="n">
        <v>0</v>
      </c>
      <c r="L10" s="26" t="n">
        <v>0.9495</v>
      </c>
    </row>
    <row r="11">
      <c r="A11" s="13" t="inlineStr">
        <is>
          <t>fit1000000_mcs250_ms5_eom</t>
        </is>
      </c>
      <c r="B11" s="14" t="n">
        <v>814</v>
      </c>
      <c r="C11" s="26" t="n">
        <v>0.2595</v>
      </c>
      <c r="D11" s="26" t="n">
        <v>0.08810722948745413</v>
      </c>
      <c r="E11" s="26" t="n">
        <v>0.4091</v>
      </c>
      <c r="F11" s="26" t="n">
        <v>0.4178</v>
      </c>
      <c r="G11" s="27" t="n">
        <v>1</v>
      </c>
      <c r="H11" s="27" t="n">
        <v>1</v>
      </c>
      <c r="I11" s="27" t="n">
        <v>1</v>
      </c>
      <c r="J11" s="27" t="n">
        <v>1</v>
      </c>
      <c r="K11" s="26" t="n">
        <v>0</v>
      </c>
      <c r="L11" s="26" t="n">
        <v>1</v>
      </c>
    </row>
    <row r="12">
      <c r="A12" s="13" t="inlineStr">
        <is>
          <t>fit1000000_mcs250_ms15_eom</t>
        </is>
      </c>
      <c r="B12" s="14" t="n">
        <v>735</v>
      </c>
      <c r="C12" s="26" t="n">
        <v>0.3223</v>
      </c>
      <c r="D12" s="26" t="n">
        <v>0.2235896633035546</v>
      </c>
      <c r="E12" s="26" t="n">
        <v>0.2558</v>
      </c>
      <c r="F12" s="26" t="n">
        <v>0.2792</v>
      </c>
      <c r="G12" s="27" t="n">
        <v>1</v>
      </c>
      <c r="H12" s="27" t="n">
        <v>1</v>
      </c>
      <c r="I12" s="27" t="n">
        <v>1</v>
      </c>
      <c r="J12" s="27" t="n">
        <v>1</v>
      </c>
      <c r="K12" s="26" t="n">
        <v>0.2929</v>
      </c>
      <c r="L12" s="26" t="n">
        <v>1</v>
      </c>
    </row>
    <row r="13">
      <c r="A13" s="13" t="inlineStr">
        <is>
          <t>fit1000000_mcs500_ms5_eom</t>
        </is>
      </c>
      <c r="B13" s="14" t="n">
        <v>584</v>
      </c>
      <c r="C13" s="26" t="n">
        <v>0.2768</v>
      </c>
      <c r="D13" s="26" t="n">
        <v>0.1620538730942568</v>
      </c>
      <c r="E13" s="26" t="n">
        <v>0.3459</v>
      </c>
      <c r="F13" s="26" t="n">
        <v>0.3336</v>
      </c>
      <c r="G13" s="27" t="n">
        <v>1</v>
      </c>
      <c r="H13" s="27" t="n">
        <v>1</v>
      </c>
      <c r="I13" s="27" t="n">
        <v>1</v>
      </c>
      <c r="J13" s="27" t="n">
        <v>1</v>
      </c>
      <c r="K13" s="26" t="n">
        <v>0</v>
      </c>
      <c r="L13" s="26" t="n">
        <v>1</v>
      </c>
    </row>
    <row r="14">
      <c r="A14" s="13" t="inlineStr">
        <is>
          <t>fit1000000_mcs500_ms15_eom</t>
        </is>
      </c>
      <c r="B14" s="14" t="n">
        <v>534</v>
      </c>
      <c r="C14" s="26" t="n">
        <v>0.3303</v>
      </c>
      <c r="D14" s="26" t="n">
        <v>0.2974854901959106</v>
      </c>
      <c r="E14" s="26" t="n">
        <v>0.1742</v>
      </c>
      <c r="F14" s="26" t="n">
        <v>0.2098</v>
      </c>
      <c r="G14" s="27" t="n">
        <v>1</v>
      </c>
      <c r="H14" s="27" t="n">
        <v>1</v>
      </c>
      <c r="I14" s="27" t="n">
        <v>1</v>
      </c>
      <c r="J14" s="27" t="n">
        <v>1</v>
      </c>
      <c r="K14" s="26" t="n">
        <v>0.1835</v>
      </c>
      <c r="L14" s="26" t="n">
        <v>1</v>
      </c>
    </row>
    <row r="15">
      <c r="A15" s="13" t="inlineStr">
        <is>
          <t>fit1000000_mcs1000_ms5_eom</t>
        </is>
      </c>
      <c r="B15" s="14" t="n">
        <v>375</v>
      </c>
      <c r="C15" s="26" t="n">
        <v>0.2845</v>
      </c>
      <c r="D15" s="26" t="n">
        <v>0.2966841395528104</v>
      </c>
      <c r="E15" s="26" t="n">
        <v>0.2107</v>
      </c>
      <c r="F15" s="26" t="n">
        <v>0.2095</v>
      </c>
      <c r="G15" s="27" t="n">
        <v>1</v>
      </c>
      <c r="H15" s="27" t="n">
        <v>1</v>
      </c>
      <c r="I15" s="27" t="n">
        <v>1</v>
      </c>
      <c r="J15" s="27" t="n">
        <v>1</v>
      </c>
      <c r="K15" s="26" t="n">
        <v>0</v>
      </c>
      <c r="L15" s="26" t="n">
        <v>1</v>
      </c>
    </row>
    <row r="16">
      <c r="A16" s="13" t="inlineStr">
        <is>
          <t>fit1000000_mcs1000_ms15_eom</t>
        </is>
      </c>
      <c r="B16" s="14" t="n">
        <v>357</v>
      </c>
      <c r="C16" s="26" t="n">
        <v>0.3048</v>
      </c>
      <c r="D16" s="26" t="n">
        <v>0.3473321504815036</v>
      </c>
      <c r="E16" s="26" t="n">
        <v>0.1485</v>
      </c>
      <c r="F16" s="26" t="n">
        <v>0.1624</v>
      </c>
      <c r="G16" s="27" t="n">
        <v>1</v>
      </c>
      <c r="H16" s="27" t="n">
        <v>1</v>
      </c>
      <c r="I16" s="27" t="n">
        <v>1</v>
      </c>
      <c r="J16" s="27" t="n">
        <v>1</v>
      </c>
      <c r="K16" s="26" t="n">
        <v>0</v>
      </c>
      <c r="L16" s="26" t="n">
        <v>1</v>
      </c>
    </row>
    <row r="17">
      <c r="A17" s="13" t="inlineStr">
        <is>
          <t>fit1000000_mcs2500_ms5_eom</t>
        </is>
      </c>
      <c r="B17" s="14" t="n">
        <v>176</v>
      </c>
      <c r="C17" s="26" t="n">
        <v>0.3124</v>
      </c>
      <c r="D17" s="26" t="n">
        <v>0.3945264946220602</v>
      </c>
      <c r="E17" s="26" t="n">
        <v>0.1534</v>
      </c>
      <c r="F17" s="26" t="n">
        <v>0.161</v>
      </c>
      <c r="G17" s="27" t="n">
        <v>1</v>
      </c>
      <c r="H17" s="27" t="n">
        <v>1</v>
      </c>
      <c r="I17" s="27" t="n">
        <v>1</v>
      </c>
      <c r="J17" s="27" t="n">
        <v>1</v>
      </c>
      <c r="K17" s="26" t="n">
        <v>0</v>
      </c>
      <c r="L17" s="26" t="n">
        <v>1</v>
      </c>
    </row>
    <row r="18">
      <c r="A18" s="18" t="inlineStr">
        <is>
          <t>fit1000000_mcs2500_ms15_eom</t>
        </is>
      </c>
      <c r="B18" s="14" t="n">
        <v>175</v>
      </c>
      <c r="C18" s="26" t="n">
        <v>0.3174</v>
      </c>
      <c r="D18" s="26" t="n">
        <v>0.4313096992904942</v>
      </c>
      <c r="E18" s="26" t="n">
        <v>0.0914</v>
      </c>
      <c r="F18" s="26" t="n">
        <v>0.1077</v>
      </c>
      <c r="G18" s="27" t="n">
        <v>1</v>
      </c>
      <c r="H18" s="27" t="n">
        <v>1</v>
      </c>
      <c r="I18" s="27" t="n">
        <v>1</v>
      </c>
      <c r="J18" s="27" t="n">
        <v>1</v>
      </c>
      <c r="K18" s="26" t="n">
        <v>0</v>
      </c>
      <c r="L18" s="26" t="n">
        <v>1</v>
      </c>
    </row>
    <row r="19">
      <c r="A19" s="13" t="inlineStr">
        <is>
          <t>fit5000000_mcs250_ms5_eom</t>
        </is>
      </c>
      <c r="B19" s="14" t="n">
        <v>1096</v>
      </c>
      <c r="C19" s="26" t="n">
        <v>0.2142</v>
      </c>
      <c r="D19" s="26" t="n">
        <v>0.01607309514655881</v>
      </c>
      <c r="E19" s="26" t="n">
        <v>0.5547</v>
      </c>
      <c r="F19" s="26" t="n">
        <v>0.5229</v>
      </c>
      <c r="G19" s="27" t="n">
        <v>1</v>
      </c>
      <c r="H19" s="27" t="n">
        <v>1</v>
      </c>
      <c r="I19" s="27" t="n">
        <v>1</v>
      </c>
      <c r="J19" s="27" t="n">
        <v>1</v>
      </c>
      <c r="K19" s="26" t="n">
        <v>0</v>
      </c>
      <c r="L19" s="26" t="n">
        <v>1</v>
      </c>
    </row>
    <row r="20">
      <c r="A20" s="13" t="inlineStr">
        <is>
          <t>fit5000000_mcs250_ms15_eom</t>
        </is>
      </c>
      <c r="B20" s="14" t="n">
        <v>1330</v>
      </c>
      <c r="C20" s="26" t="n">
        <v>0.197</v>
      </c>
      <c r="D20" s="26" t="n">
        <v>0.001472369268413223</v>
      </c>
      <c r="E20" s="26" t="n">
        <v>0.4857</v>
      </c>
      <c r="F20" s="26" t="n">
        <v>0.5117</v>
      </c>
      <c r="G20" s="27" t="n">
        <v>1</v>
      </c>
      <c r="H20" s="27" t="n">
        <v>1</v>
      </c>
      <c r="I20" s="27" t="n">
        <v>1</v>
      </c>
      <c r="J20" s="27" t="n">
        <v>1</v>
      </c>
      <c r="K20" s="26" t="n">
        <v>0</v>
      </c>
      <c r="L20" s="26" t="n">
        <v>1</v>
      </c>
    </row>
    <row r="21">
      <c r="A21" s="13" t="inlineStr">
        <is>
          <t>fit5000000_mcs500_ms5_eom</t>
        </is>
      </c>
      <c r="B21" s="14" t="n">
        <v>856</v>
      </c>
      <c r="C21" s="26" t="n">
        <v>0.2347</v>
      </c>
      <c r="D21" s="26" t="n">
        <v>0.06872154786232307</v>
      </c>
      <c r="E21" s="26" t="n">
        <v>0.4755</v>
      </c>
      <c r="F21" s="26" t="n">
        <v>0.4645</v>
      </c>
      <c r="G21" s="27" t="n">
        <v>1</v>
      </c>
      <c r="H21" s="27" t="n">
        <v>1</v>
      </c>
      <c r="I21" s="27" t="n">
        <v>1</v>
      </c>
      <c r="J21" s="27" t="n">
        <v>1</v>
      </c>
      <c r="K21" s="26" t="n">
        <v>0</v>
      </c>
      <c r="L21" s="26" t="n">
        <v>1</v>
      </c>
    </row>
    <row r="22">
      <c r="A22" s="13" t="inlineStr">
        <is>
          <t>fit5000000_mcs500_ms15_eom</t>
        </is>
      </c>
      <c r="B22" s="14" t="n">
        <v>1008</v>
      </c>
      <c r="C22" s="26" t="n">
        <v>0.2466</v>
      </c>
      <c r="D22" s="26" t="n">
        <v>0.0547015692030264</v>
      </c>
      <c r="E22" s="26" t="n">
        <v>0.4464</v>
      </c>
      <c r="F22" s="26" t="n">
        <v>0.4598</v>
      </c>
      <c r="G22" s="27" t="n">
        <v>1</v>
      </c>
      <c r="H22" s="27" t="n">
        <v>1</v>
      </c>
      <c r="I22" s="27" t="n">
        <v>1</v>
      </c>
      <c r="J22" s="27" t="n">
        <v>1</v>
      </c>
      <c r="K22" s="26" t="n">
        <v>0</v>
      </c>
      <c r="L22" s="26" t="n">
        <v>1</v>
      </c>
    </row>
    <row r="23">
      <c r="A23" s="13" t="inlineStr">
        <is>
          <t>fit5000000_mcs1000_ms5_eom</t>
        </is>
      </c>
      <c r="B23" s="14" t="n">
        <v>692</v>
      </c>
      <c r="C23" s="26" t="n">
        <v>0.2518</v>
      </c>
      <c r="D23" s="26" t="n">
        <v>0.1131530869478111</v>
      </c>
      <c r="E23" s="26" t="n">
        <v>0.4292</v>
      </c>
      <c r="F23" s="26" t="n">
        <v>0.4077</v>
      </c>
      <c r="G23" s="27" t="n">
        <v>1</v>
      </c>
      <c r="H23" s="27" t="n">
        <v>1</v>
      </c>
      <c r="I23" s="27" t="n">
        <v>1</v>
      </c>
      <c r="J23" s="27" t="n">
        <v>1</v>
      </c>
      <c r="K23" s="26" t="n">
        <v>0</v>
      </c>
      <c r="L23" s="26" t="n">
        <v>1</v>
      </c>
    </row>
    <row r="24">
      <c r="A24" s="13" t="inlineStr">
        <is>
          <t>fit5000000_mcs1000_ms15_eom</t>
        </is>
      </c>
      <c r="B24" s="14" t="n">
        <v>784</v>
      </c>
      <c r="C24" s="26" t="n">
        <v>0.2453</v>
      </c>
      <c r="D24" s="26" t="n">
        <v>0.1260209034504625</v>
      </c>
      <c r="E24" s="26" t="n">
        <v>0.361</v>
      </c>
      <c r="F24" s="26" t="n">
        <v>0.3972</v>
      </c>
      <c r="G24" s="27" t="n">
        <v>1</v>
      </c>
      <c r="H24" s="27" t="n">
        <v>1</v>
      </c>
      <c r="I24" s="27" t="n">
        <v>1</v>
      </c>
      <c r="J24" s="27" t="n">
        <v>1</v>
      </c>
      <c r="K24" s="26" t="n">
        <v>0</v>
      </c>
      <c r="L24" s="26" t="n">
        <v>1</v>
      </c>
    </row>
    <row r="25">
      <c r="A25" s="13" t="inlineStr">
        <is>
          <t>fit5000000_mcs2500_ms5_eom</t>
        </is>
      </c>
      <c r="B25" s="14" t="n">
        <v>513</v>
      </c>
      <c r="C25" s="26" t="n">
        <v>0.2624</v>
      </c>
      <c r="D25" s="26" t="n">
        <v>0.2000516839518017</v>
      </c>
      <c r="E25" s="26" t="n">
        <v>0.3099</v>
      </c>
      <c r="F25" s="26" t="n">
        <v>0.32</v>
      </c>
      <c r="G25" s="27" t="n">
        <v>1</v>
      </c>
      <c r="H25" s="27" t="n">
        <v>1</v>
      </c>
      <c r="I25" s="27" t="n">
        <v>1</v>
      </c>
      <c r="J25" s="27" t="n">
        <v>1</v>
      </c>
      <c r="K25" s="26" t="n">
        <v>0</v>
      </c>
      <c r="L25" s="26" t="n">
        <v>1</v>
      </c>
    </row>
    <row r="26">
      <c r="A26" s="13" t="inlineStr">
        <is>
          <t>fit5000000_mcs2500_ms15_eom</t>
        </is>
      </c>
      <c r="B26" s="14" t="n">
        <v>548</v>
      </c>
      <c r="C26" s="26" t="n">
        <v>0.3044</v>
      </c>
      <c r="D26" s="26" t="n">
        <v>0.1973877711147611</v>
      </c>
      <c r="E26" s="26" t="n">
        <v>0.2956</v>
      </c>
      <c r="F26" s="26" t="n">
        <v>0.3093</v>
      </c>
      <c r="G26" s="27" t="n">
        <v>1</v>
      </c>
      <c r="H26" s="27" t="n">
        <v>1</v>
      </c>
      <c r="I26" s="27" t="n">
        <v>1</v>
      </c>
      <c r="J26" s="27" t="n">
        <v>1</v>
      </c>
      <c r="K26" s="26" t="n">
        <v>0</v>
      </c>
      <c r="L26" s="26" t="n">
        <v>1</v>
      </c>
    </row>
    <row r="28">
      <c r="A28" s="25" t="inlineStr">
        <is>
          <t>Yellow persistence cells = degenerate (all clusters have persistence = 1.0 in both cuML and CPU). Regime cliff between n=89 and n=175.</t>
        </is>
      </c>
    </row>
  </sheetData>
  <mergeCells count="5">
    <mergeCell ref="A28:L28"/>
    <mergeCell ref="K1:L1"/>
    <mergeCell ref="C1:F1"/>
    <mergeCell ref="G1:J1"/>
    <mergeCell ref="A1:B1"/>
  </mergeCells>
  <conditionalFormatting sqref="C3:C26">
    <cfRule type="colorScale" priority="1">
      <colorScale>
        <cfvo type="min"/>
        <cfvo type="percentile" val="50"/>
        <cfvo type="max"/>
        <color rgb="00FFC7CE"/>
        <color rgb="00FFEB9C"/>
        <color rgb="00C6EFCE"/>
      </colorScale>
    </cfRule>
  </conditionalFormatting>
  <conditionalFormatting sqref="F3:F26">
    <cfRule type="colorScale" priority="2">
      <colorScale>
        <cfvo type="min"/>
        <cfvo type="percentile" val="50"/>
        <cfvo type="max"/>
        <color rgb="00C6EFCE"/>
        <color rgb="00FFEB9C"/>
        <color rgb="00FFC7CE"/>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showGridLines="0" workbookViewId="0">
      <pane ySplit="1" topLeftCell="A2" activePane="bottomLeft" state="frozen"/>
      <selection pane="bottomLeft" activeCell="A1" sqref="A1"/>
    </sheetView>
  </sheetViews>
  <sheetFormatPr baseColWidth="8" defaultRowHeight="15"/>
  <cols>
    <col width="30" customWidth="1" min="1" max="1"/>
    <col width="14" customWidth="1" min="2" max="2"/>
    <col width="12" customWidth="1" min="3" max="3"/>
    <col width="14" customWidth="1" min="4" max="4"/>
    <col width="14" customWidth="1" min="5" max="5"/>
    <col width="14" customWidth="1" min="6" max="6"/>
    <col width="15" customWidth="1" min="7" max="7"/>
    <col width="15" customWidth="1" min="8" max="8"/>
    <col width="15" customWidth="1" min="9" max="9"/>
  </cols>
  <sheetData>
    <row r="1" ht="36" customHeight="1">
      <c r="A1" s="28" t="inlineStr">
        <is>
          <t>Cell ID</t>
        </is>
      </c>
      <c r="B1" s="28" t="inlineStr">
        <is>
          <t>Fit rows
(HDBSCAN input)</t>
        </is>
      </c>
      <c r="C1" s="28" t="inlineStr">
        <is>
          <t>N clusters
(excl. noise)</t>
        </is>
      </c>
      <c r="D1" s="28" t="inlineStr">
        <is>
          <t>cuML HDBSCAN
fit time (s)</t>
        </is>
      </c>
      <c r="E1" s="28" t="inlineStr">
        <is>
          <t>CPU HDBSCAN
fit time (s)</t>
        </is>
      </c>
      <c r="F1" s="28" t="inlineStr">
        <is>
          <t>Fit time ratio
(CPU / cuML)</t>
        </is>
      </c>
      <c r="G1" s="28" t="inlineStr">
        <is>
          <t>cuML cohort
label time (s)</t>
        </is>
      </c>
      <c r="H1" s="28" t="inlineStr">
        <is>
          <t>CPU cohort
label time (s)</t>
        </is>
      </c>
      <c r="I1" s="28" t="inlineStr">
        <is>
          <t>Label time ratio
(CPU / cuML)</t>
        </is>
      </c>
    </row>
    <row r="2">
      <c r="A2" s="13" t="inlineStr">
        <is>
          <t>fit500000_mcs250_ms5_eom</t>
        </is>
      </c>
      <c r="B2" s="14" t="n">
        <v>500000</v>
      </c>
      <c r="C2" s="14" t="n">
        <v>560</v>
      </c>
      <c r="D2" s="17" t="n">
        <v>6</v>
      </c>
      <c r="E2" s="17" t="n">
        <v>6</v>
      </c>
      <c r="F2" s="29" t="n">
        <v>1</v>
      </c>
      <c r="G2" s="17" t="n">
        <v>53.9</v>
      </c>
      <c r="H2" s="17" t="n">
        <v>54</v>
      </c>
      <c r="I2" s="30" t="n">
        <v>1.002</v>
      </c>
    </row>
    <row r="3">
      <c r="A3" s="13" t="inlineStr">
        <is>
          <t>fit500000_mcs250_ms15_eom</t>
        </is>
      </c>
      <c r="B3" s="14" t="n">
        <v>500000</v>
      </c>
      <c r="C3" s="14" t="n">
        <v>518</v>
      </c>
      <c r="D3" s="17" t="n">
        <v>5.3</v>
      </c>
      <c r="E3" s="17" t="n">
        <v>5.4</v>
      </c>
      <c r="F3" s="30" t="n">
        <v>1.019</v>
      </c>
      <c r="G3" s="17" t="n">
        <v>101.4</v>
      </c>
      <c r="H3" s="17" t="n">
        <v>100</v>
      </c>
      <c r="I3" s="31" t="n">
        <v>0.986</v>
      </c>
    </row>
    <row r="4">
      <c r="A4" s="13" t="inlineStr">
        <is>
          <t>fit500000_mcs500_ms5_eom</t>
        </is>
      </c>
      <c r="B4" s="14" t="n">
        <v>500000</v>
      </c>
      <c r="C4" s="14" t="n">
        <v>363</v>
      </c>
      <c r="D4" s="17" t="n">
        <v>5.8</v>
      </c>
      <c r="E4" s="17" t="n">
        <v>5.8</v>
      </c>
      <c r="F4" s="29" t="n">
        <v>1</v>
      </c>
      <c r="G4" s="17" t="n">
        <v>53.4</v>
      </c>
      <c r="H4" s="17" t="n">
        <v>53.1</v>
      </c>
      <c r="I4" s="31" t="n">
        <v>0.994</v>
      </c>
    </row>
    <row r="5">
      <c r="A5" s="13" t="inlineStr">
        <is>
          <t>fit500000_mcs500_ms15_eom</t>
        </is>
      </c>
      <c r="B5" s="14" t="n">
        <v>500000</v>
      </c>
      <c r="C5" s="14" t="n">
        <v>348</v>
      </c>
      <c r="D5" s="17" t="n">
        <v>5.3</v>
      </c>
      <c r="E5" s="17" t="n">
        <v>5.3</v>
      </c>
      <c r="F5" s="29" t="n">
        <v>1</v>
      </c>
      <c r="G5" s="17" t="n">
        <v>100.9</v>
      </c>
      <c r="H5" s="17" t="n">
        <v>99.40000000000001</v>
      </c>
      <c r="I5" s="31" t="n">
        <v>0.985</v>
      </c>
    </row>
    <row r="6">
      <c r="A6" s="13" t="inlineStr">
        <is>
          <t>fit500000_mcs1000_ms5_eom</t>
        </is>
      </c>
      <c r="B6" s="14" t="n">
        <v>500000</v>
      </c>
      <c r="C6" s="14" t="n">
        <v>220</v>
      </c>
      <c r="D6" s="17" t="n">
        <v>5.8</v>
      </c>
      <c r="E6" s="17" t="n">
        <v>5.9</v>
      </c>
      <c r="F6" s="30" t="n">
        <v>1.017</v>
      </c>
      <c r="G6" s="17" t="n">
        <v>53.7</v>
      </c>
      <c r="H6" s="17" t="n">
        <v>53</v>
      </c>
      <c r="I6" s="31" t="n">
        <v>0.987</v>
      </c>
    </row>
    <row r="7">
      <c r="A7" s="13" t="inlineStr">
        <is>
          <t>fit500000_mcs1000_ms15_eom</t>
        </is>
      </c>
      <c r="B7" s="14" t="n">
        <v>500000</v>
      </c>
      <c r="C7" s="14" t="n">
        <v>215</v>
      </c>
      <c r="D7" s="17" t="n">
        <v>5.3</v>
      </c>
      <c r="E7" s="17" t="n">
        <v>5.3</v>
      </c>
      <c r="F7" s="29" t="n">
        <v>1</v>
      </c>
      <c r="G7" s="17" t="n">
        <v>100.8</v>
      </c>
      <c r="H7" s="17" t="n">
        <v>99.5</v>
      </c>
      <c r="I7" s="31" t="n">
        <v>0.987</v>
      </c>
    </row>
    <row r="8">
      <c r="A8" s="13" t="inlineStr">
        <is>
          <t>fit500000_mcs2500_ms5_eom</t>
        </is>
      </c>
      <c r="B8" s="14" t="n">
        <v>500000</v>
      </c>
      <c r="C8" s="14" t="n">
        <v>88</v>
      </c>
      <c r="D8" s="17" t="n">
        <v>5.8</v>
      </c>
      <c r="E8" s="17" t="n">
        <v>5.8</v>
      </c>
      <c r="F8" s="29" t="n">
        <v>1</v>
      </c>
      <c r="G8" s="17" t="n">
        <v>53.7</v>
      </c>
      <c r="H8" s="17" t="n">
        <v>53.1</v>
      </c>
      <c r="I8" s="31" t="n">
        <v>0.989</v>
      </c>
    </row>
    <row r="9">
      <c r="A9" s="13" t="inlineStr">
        <is>
          <t>fit500000_mcs2500_ms15_eom</t>
        </is>
      </c>
      <c r="B9" s="14" t="n">
        <v>500000</v>
      </c>
      <c r="C9" s="14" t="n">
        <v>89</v>
      </c>
      <c r="D9" s="17" t="n">
        <v>5.3</v>
      </c>
      <c r="E9" s="17" t="n">
        <v>5.3</v>
      </c>
      <c r="F9" s="29" t="n">
        <v>1</v>
      </c>
      <c r="G9" s="17" t="n">
        <v>100.8</v>
      </c>
      <c r="H9" s="17" t="n">
        <v>99.5</v>
      </c>
      <c r="I9" s="31" t="n">
        <v>0.987</v>
      </c>
    </row>
    <row r="10">
      <c r="A10" s="13" t="inlineStr">
        <is>
          <t>fit1000000_mcs250_ms5_eom</t>
        </is>
      </c>
      <c r="B10" s="14" t="n">
        <v>1000000</v>
      </c>
      <c r="C10" s="14" t="n">
        <v>814</v>
      </c>
      <c r="D10" s="17" t="n">
        <v>20.3</v>
      </c>
      <c r="E10" s="17" t="n">
        <v>20.3</v>
      </c>
      <c r="F10" s="29" t="n">
        <v>1</v>
      </c>
      <c r="G10" s="17" t="n">
        <v>69.8</v>
      </c>
      <c r="H10" s="17" t="n">
        <v>67.90000000000001</v>
      </c>
      <c r="I10" s="31" t="n">
        <v>0.973</v>
      </c>
    </row>
    <row r="11">
      <c r="A11" s="13" t="inlineStr">
        <is>
          <t>fit1000000_mcs250_ms15_eom</t>
        </is>
      </c>
      <c r="B11" s="14" t="n">
        <v>1000000</v>
      </c>
      <c r="C11" s="14" t="n">
        <v>735</v>
      </c>
      <c r="D11" s="17" t="n">
        <v>18.8</v>
      </c>
      <c r="E11" s="17" t="n">
        <v>18.8</v>
      </c>
      <c r="F11" s="29" t="n">
        <v>1</v>
      </c>
      <c r="G11" s="17" t="n">
        <v>125.5</v>
      </c>
      <c r="H11" s="17" t="n">
        <v>123</v>
      </c>
      <c r="I11" s="31" t="n">
        <v>0.98</v>
      </c>
    </row>
    <row r="12">
      <c r="A12" s="13" t="inlineStr">
        <is>
          <t>fit1000000_mcs500_ms5_eom</t>
        </is>
      </c>
      <c r="B12" s="14" t="n">
        <v>1000000</v>
      </c>
      <c r="C12" s="14" t="n">
        <v>584</v>
      </c>
      <c r="D12" s="17" t="n">
        <v>20.3</v>
      </c>
      <c r="E12" s="17" t="n">
        <v>20.3</v>
      </c>
      <c r="F12" s="29" t="n">
        <v>1</v>
      </c>
      <c r="G12" s="17" t="n">
        <v>69</v>
      </c>
      <c r="H12" s="17" t="n">
        <v>67</v>
      </c>
      <c r="I12" s="31" t="n">
        <v>0.971</v>
      </c>
    </row>
    <row r="13">
      <c r="A13" s="13" t="inlineStr">
        <is>
          <t>fit1000000_mcs500_ms15_eom</t>
        </is>
      </c>
      <c r="B13" s="14" t="n">
        <v>1000000</v>
      </c>
      <c r="C13" s="14" t="n">
        <v>534</v>
      </c>
      <c r="D13" s="17" t="n">
        <v>18.8</v>
      </c>
      <c r="E13" s="17" t="n">
        <v>18.8</v>
      </c>
      <c r="F13" s="29" t="n">
        <v>1</v>
      </c>
      <c r="G13" s="17" t="n">
        <v>124.9</v>
      </c>
      <c r="H13" s="17" t="n">
        <v>122.9</v>
      </c>
      <c r="I13" s="31" t="n">
        <v>0.984</v>
      </c>
    </row>
    <row r="14">
      <c r="A14" s="13" t="inlineStr">
        <is>
          <t>fit1000000_mcs1000_ms5_eom</t>
        </is>
      </c>
      <c r="B14" s="14" t="n">
        <v>1000000</v>
      </c>
      <c r="C14" s="14" t="n">
        <v>375</v>
      </c>
      <c r="D14" s="17" t="n">
        <v>20.3</v>
      </c>
      <c r="E14" s="17" t="n">
        <v>20.2</v>
      </c>
      <c r="F14" s="31" t="n">
        <v>0.995</v>
      </c>
      <c r="G14" s="17" t="n">
        <v>68.40000000000001</v>
      </c>
      <c r="H14" s="17" t="n">
        <v>66.59999999999999</v>
      </c>
      <c r="I14" s="31" t="n">
        <v>0.974</v>
      </c>
    </row>
    <row r="15">
      <c r="A15" s="13" t="inlineStr">
        <is>
          <t>fit1000000_mcs1000_ms15_eom</t>
        </is>
      </c>
      <c r="B15" s="14" t="n">
        <v>1000000</v>
      </c>
      <c r="C15" s="14" t="n">
        <v>357</v>
      </c>
      <c r="D15" s="17" t="n">
        <v>18.8</v>
      </c>
      <c r="E15" s="17" t="n">
        <v>18.8</v>
      </c>
      <c r="F15" s="29" t="n">
        <v>1</v>
      </c>
      <c r="G15" s="17" t="n">
        <v>124.5</v>
      </c>
      <c r="H15" s="17" t="n">
        <v>122.6</v>
      </c>
      <c r="I15" s="31" t="n">
        <v>0.985</v>
      </c>
    </row>
    <row r="16">
      <c r="A16" s="13" t="inlineStr">
        <is>
          <t>fit1000000_mcs2500_ms5_eom</t>
        </is>
      </c>
      <c r="B16" s="14" t="n">
        <v>1000000</v>
      </c>
      <c r="C16" s="14" t="n">
        <v>176</v>
      </c>
      <c r="D16" s="17" t="n">
        <v>20.3</v>
      </c>
      <c r="E16" s="17" t="n">
        <v>20.3</v>
      </c>
      <c r="F16" s="29" t="n">
        <v>1</v>
      </c>
      <c r="G16" s="17" t="n">
        <v>67.90000000000001</v>
      </c>
      <c r="H16" s="17" t="n">
        <v>66.2</v>
      </c>
      <c r="I16" s="31" t="n">
        <v>0.975</v>
      </c>
    </row>
    <row r="17">
      <c r="A17" s="13" t="inlineStr">
        <is>
          <t>fit1000000_mcs2500_ms15_eom</t>
        </is>
      </c>
      <c r="B17" s="14" t="n">
        <v>1000000</v>
      </c>
      <c r="C17" s="14" t="n">
        <v>175</v>
      </c>
      <c r="D17" s="17" t="n">
        <v>18.8</v>
      </c>
      <c r="E17" s="17" t="n">
        <v>18.8</v>
      </c>
      <c r="F17" s="29" t="n">
        <v>1</v>
      </c>
      <c r="G17" s="17" t="n">
        <v>124.1</v>
      </c>
      <c r="H17" s="17" t="n">
        <v>122.4</v>
      </c>
      <c r="I17" s="31" t="n">
        <v>0.986</v>
      </c>
    </row>
    <row r="18">
      <c r="A18" s="13" t="inlineStr">
        <is>
          <t>fit5000000_mcs250_ms5_eom</t>
        </is>
      </c>
      <c r="B18" s="14" t="n">
        <v>5000000</v>
      </c>
      <c r="C18" s="14" t="n">
        <v>1096</v>
      </c>
      <c r="D18" s="17" t="n">
        <v>457.9</v>
      </c>
      <c r="E18" s="17" t="n">
        <v>458.3</v>
      </c>
      <c r="F18" s="30" t="n">
        <v>1.001</v>
      </c>
      <c r="G18" s="17" t="n">
        <v>154.4</v>
      </c>
      <c r="H18" s="17" t="n">
        <v>148.1</v>
      </c>
      <c r="I18" s="31" t="n">
        <v>0.959</v>
      </c>
    </row>
    <row r="19">
      <c r="A19" s="13" t="inlineStr">
        <is>
          <t>fit5000000_mcs250_ms15_eom</t>
        </is>
      </c>
      <c r="B19" s="14" t="n">
        <v>5000000</v>
      </c>
      <c r="C19" s="14" t="n">
        <v>1330</v>
      </c>
      <c r="D19" s="17" t="n">
        <v>460.1</v>
      </c>
      <c r="E19" s="17" t="n">
        <v>460.4</v>
      </c>
      <c r="F19" s="30" t="n">
        <v>1.001</v>
      </c>
      <c r="G19" s="17" t="n">
        <v>300.8</v>
      </c>
      <c r="H19" s="17" t="n">
        <v>257.2</v>
      </c>
      <c r="I19" s="31" t="n">
        <v>0.855</v>
      </c>
    </row>
    <row r="20">
      <c r="A20" s="13" t="inlineStr">
        <is>
          <t>fit5000000_mcs500_ms5_eom</t>
        </is>
      </c>
      <c r="B20" s="14" t="n">
        <v>5000000</v>
      </c>
      <c r="C20" s="14" t="n">
        <v>856</v>
      </c>
      <c r="D20" s="17" t="n">
        <v>456.6</v>
      </c>
      <c r="E20" s="17" t="n">
        <v>458</v>
      </c>
      <c r="F20" s="30" t="n">
        <v>1.003</v>
      </c>
      <c r="G20" s="17" t="n">
        <v>152.9</v>
      </c>
      <c r="H20" s="17" t="n">
        <v>145.9</v>
      </c>
      <c r="I20" s="31" t="n">
        <v>0.954</v>
      </c>
    </row>
    <row r="21">
      <c r="A21" s="13" t="inlineStr">
        <is>
          <t>fit5000000_mcs500_ms15_eom</t>
        </is>
      </c>
      <c r="B21" s="14" t="n">
        <v>5000000</v>
      </c>
      <c r="C21" s="14" t="n">
        <v>1008</v>
      </c>
      <c r="D21" s="17" t="n">
        <v>459.8</v>
      </c>
      <c r="E21" s="17" t="n">
        <v>460.5</v>
      </c>
      <c r="F21" s="30" t="n">
        <v>1.002</v>
      </c>
      <c r="G21" s="17" t="n">
        <v>300.7</v>
      </c>
      <c r="H21" s="17" t="n">
        <v>257</v>
      </c>
      <c r="I21" s="31" t="n">
        <v>0.855</v>
      </c>
    </row>
    <row r="22">
      <c r="A22" s="13" t="inlineStr">
        <is>
          <t>fit5000000_mcs1000_ms5_eom</t>
        </is>
      </c>
      <c r="B22" s="14" t="n">
        <v>5000000</v>
      </c>
      <c r="C22" s="14" t="n">
        <v>692</v>
      </c>
      <c r="D22" s="17" t="n">
        <v>457.7</v>
      </c>
      <c r="E22" s="17" t="n">
        <v>457.3</v>
      </c>
      <c r="F22" s="31" t="n">
        <v>0.999</v>
      </c>
      <c r="G22" s="17" t="n">
        <v>151.6</v>
      </c>
      <c r="H22" s="17" t="n">
        <v>128.6</v>
      </c>
      <c r="I22" s="31" t="n">
        <v>0.848</v>
      </c>
    </row>
    <row r="23">
      <c r="A23" s="13" t="inlineStr">
        <is>
          <t>fit5000000_mcs1000_ms15_eom</t>
        </is>
      </c>
      <c r="B23" s="14" t="n">
        <v>5000000</v>
      </c>
      <c r="C23" s="14" t="n">
        <v>784</v>
      </c>
      <c r="D23" s="17" t="n">
        <v>459.8</v>
      </c>
      <c r="E23" s="17" t="n">
        <v>459.8</v>
      </c>
      <c r="F23" s="29" t="n">
        <v>1</v>
      </c>
      <c r="G23" s="17" t="n">
        <v>298</v>
      </c>
      <c r="H23" s="17" t="n">
        <v>256.7</v>
      </c>
      <c r="I23" s="31" t="n">
        <v>0.861</v>
      </c>
    </row>
    <row r="24">
      <c r="A24" s="13" t="inlineStr">
        <is>
          <t>fit5000000_mcs2500_ms5_eom</t>
        </is>
      </c>
      <c r="B24" s="14" t="n">
        <v>5000000</v>
      </c>
      <c r="C24" s="14" t="n">
        <v>513</v>
      </c>
      <c r="D24" s="17" t="n">
        <v>456.9</v>
      </c>
      <c r="E24" s="17" t="n">
        <v>457.1</v>
      </c>
      <c r="F24" s="29" t="n">
        <v>1</v>
      </c>
      <c r="G24" s="17" t="n">
        <v>150.3</v>
      </c>
      <c r="H24" s="17" t="n">
        <v>127</v>
      </c>
      <c r="I24" s="31" t="n">
        <v>0.845</v>
      </c>
    </row>
    <row r="25">
      <c r="A25" s="13" t="inlineStr">
        <is>
          <t>fit5000000_mcs2500_ms15_eom</t>
        </is>
      </c>
      <c r="B25" s="14" t="n">
        <v>5000000</v>
      </c>
      <c r="C25" s="14" t="n">
        <v>548</v>
      </c>
      <c r="D25" s="17" t="n">
        <v>459.7</v>
      </c>
      <c r="E25" s="17" t="n">
        <v>459.8</v>
      </c>
      <c r="F25" s="29" t="n">
        <v>1</v>
      </c>
      <c r="G25" s="17" t="n">
        <v>297</v>
      </c>
      <c r="H25" s="17" t="n">
        <v>255.6</v>
      </c>
      <c r="I25" s="31" t="n">
        <v>0.861</v>
      </c>
    </row>
    <row r="26">
      <c r="A26" s="13" t="inlineStr">
        <is>
          <t>fit25000000_mcs250_ms5_eom</t>
        </is>
      </c>
      <c r="B26" s="14" t="n">
        <v>25000000</v>
      </c>
      <c r="C26" s="14" t="n">
        <v>872</v>
      </c>
      <c r="D26" s="17" t="n">
        <v>11651.7</v>
      </c>
      <c r="E26" s="14" t="inlineStr">
        <is>
          <t>25M (no CPU)</t>
        </is>
      </c>
      <c r="F26" s="14" t="inlineStr"/>
      <c r="G26" s="17" t="n">
        <v>406.4</v>
      </c>
      <c r="H26" s="14" t="inlineStr">
        <is>
          <t>25M (no CPU)</t>
        </is>
      </c>
      <c r="I26" s="14" t="inlineStr"/>
    </row>
    <row r="27">
      <c r="A27" s="13" t="inlineStr">
        <is>
          <t>fit25000000_mcs500_ms5_eom</t>
        </is>
      </c>
      <c r="B27" s="14" t="n">
        <v>25000000</v>
      </c>
      <c r="C27" s="14" t="n">
        <v>634</v>
      </c>
      <c r="D27" s="17" t="n">
        <v>11619.5</v>
      </c>
      <c r="E27" s="14" t="inlineStr">
        <is>
          <t>25M (no CPU)</t>
        </is>
      </c>
      <c r="F27" s="14" t="inlineStr"/>
      <c r="G27" s="17" t="n">
        <v>403.1</v>
      </c>
      <c r="H27" s="14" t="inlineStr">
        <is>
          <t>25M (no CPU)</t>
        </is>
      </c>
      <c r="I27" s="14" t="inlineStr"/>
    </row>
    <row r="28">
      <c r="A28" s="13" t="inlineStr">
        <is>
          <t>fit25000000_mcs1000_ms5_eom</t>
        </is>
      </c>
      <c r="B28" s="14" t="n">
        <v>25000000</v>
      </c>
      <c r="C28" s="14" t="n">
        <v>517</v>
      </c>
      <c r="D28" s="17" t="n">
        <v>11638.1</v>
      </c>
      <c r="E28" s="14" t="inlineStr">
        <is>
          <t>25M (no CPU)</t>
        </is>
      </c>
      <c r="F28" s="14" t="inlineStr"/>
      <c r="G28" s="17" t="n">
        <v>411.6</v>
      </c>
      <c r="H28" s="14" t="inlineStr">
        <is>
          <t>25M (no CPU)</t>
        </is>
      </c>
      <c r="I28" s="14" t="inlineStr"/>
    </row>
    <row r="29">
      <c r="A29" s="13" t="inlineStr">
        <is>
          <t>fit25000000_mcs2500_ms5_eom</t>
        </is>
      </c>
      <c r="B29" s="14" t="n">
        <v>25000000</v>
      </c>
      <c r="C29" s="14" t="n">
        <v>441</v>
      </c>
      <c r="D29" s="17" t="n">
        <v>11659.6</v>
      </c>
      <c r="E29" s="14" t="inlineStr">
        <is>
          <t>25M (no CPU)</t>
        </is>
      </c>
      <c r="F29" s="14" t="inlineStr"/>
      <c r="G29" s="17" t="n">
        <v>399.4</v>
      </c>
      <c r="H29" s="14" t="inlineStr">
        <is>
          <t>25M (no CPU)</t>
        </is>
      </c>
      <c r="I29" s="14" t="inlineStr"/>
    </row>
    <row r="30">
      <c r="A30" s="32" t="inlineStr">
        <is>
          <t>TOTAL (24 shared cells)</t>
        </is>
      </c>
      <c r="B30" s="33" t="n"/>
      <c r="C30" s="33" t="n"/>
      <c r="D30" s="33" t="n"/>
      <c r="E30" s="33" t="n"/>
      <c r="F30" s="33" t="n"/>
      <c r="G30" s="34" t="n">
        <v>3198</v>
      </c>
      <c r="H30" s="34" t="n">
        <v>2946</v>
      </c>
      <c r="I30" s="35" t="n">
        <v>0.921</v>
      </c>
    </row>
    <row r="32">
      <c r="A32" s="36" t="inlineStr">
        <is>
          <t>CPU label is 7.9% faster than cuML for applying labels to the 157.5M-row cohort (total across 24 cells)</t>
        </is>
      </c>
    </row>
    <row r="33">
      <c r="A33" s="37" t="inlineStr">
        <is>
          <t>fit_s timings are NOT a valid backend benchmark — dominated by shared setup (subsample read + UMAP coords load), not the HDBSCAN call itself</t>
        </is>
      </c>
    </row>
  </sheetData>
  <mergeCells count="2">
    <mergeCell ref="A32:I32"/>
    <mergeCell ref="A33:I3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8"/>
  <sheetViews>
    <sheetView showGridLines="0" workbookViewId="0">
      <selection activeCell="A1" sqref="A1"/>
    </sheetView>
  </sheetViews>
  <sheetFormatPr baseColWidth="8" defaultRowHeight="15"/>
  <cols>
    <col width="26" customWidth="1" min="1" max="1"/>
    <col width="18" customWidth="1" min="2" max="2"/>
    <col width="80" customWidth="1" min="3" max="3"/>
  </cols>
  <sheetData>
    <row r="1" ht="20" customHeight="1">
      <c r="A1" s="38" t="inlineStr">
        <is>
          <t>Metric</t>
        </is>
      </c>
      <c r="B1" s="38" t="inlineStr">
        <is>
          <t>Type / Range</t>
        </is>
      </c>
      <c r="C1" s="38" t="inlineStr">
        <is>
          <t>Meaning</t>
        </is>
      </c>
    </row>
    <row r="2" ht="18" customHeight="1">
      <c r="A2" s="39" t="inlineStr">
        <is>
          <t>CELL IDENTITY</t>
        </is>
      </c>
      <c r="B2" s="7" t="n"/>
      <c r="C2" s="3" t="n"/>
    </row>
    <row r="3" ht="34" customHeight="1">
      <c r="A3" s="40" t="inlineStr">
        <is>
          <t>label</t>
        </is>
      </c>
      <c r="B3" s="5" t="inlineStr">
        <is>
          <t>text</t>
        </is>
      </c>
      <c r="C3" s="5" t="inlineStr">
        <is>
          <t>Cell identifier: fit{rows}_mcs{min_cluster_size}_ms{min_samples}_eom</t>
        </is>
      </c>
    </row>
    <row r="4" ht="37" customHeight="1">
      <c r="A4" s="40" t="inlineStr">
        <is>
          <t>fit_rows</t>
        </is>
      </c>
      <c r="B4" s="5" t="inlineStr">
        <is>
          <t>integer</t>
        </is>
      </c>
      <c r="C4" s="5" t="inlineStr">
        <is>
          <t>Number of UMAP points used to fit HDBSCAN (subsample of full 157.5M cohort)</t>
        </is>
      </c>
    </row>
    <row r="5" ht="35" customHeight="1">
      <c r="A5" s="40" t="inlineStr">
        <is>
          <t>mcs</t>
        </is>
      </c>
      <c r="B5" s="5" t="inlineStr">
        <is>
          <t>integer</t>
        </is>
      </c>
      <c r="C5" s="5" t="inlineStr">
        <is>
          <t>min_cluster_size: minimum points for a group to be considered a cluster</t>
        </is>
      </c>
    </row>
    <row r="6" ht="35" customHeight="1">
      <c r="A6" s="40" t="inlineStr">
        <is>
          <t>ms</t>
        </is>
      </c>
      <c r="B6" s="5" t="inlineStr">
        <is>
          <t>integer</t>
        </is>
      </c>
      <c r="C6" s="5" t="inlineStr">
        <is>
          <t>min_samples: controls conservatism; higher = more noise, fewer clusters</t>
        </is>
      </c>
    </row>
    <row r="7" ht="26" customHeight="1">
      <c r="A7" s="40" t="inlineStr">
        <is>
          <t>n_clusters</t>
        </is>
      </c>
      <c r="B7" s="5" t="inlineStr">
        <is>
          <t>integer</t>
        </is>
      </c>
      <c r="C7" s="5" t="inlineStr">
        <is>
          <t>Number of clusters found by HDBSCAN (excludes noise)</t>
        </is>
      </c>
    </row>
    <row r="8" ht="35" customHeight="1">
      <c r="A8" s="40" t="inlineStr">
        <is>
          <t>noise_pct</t>
        </is>
      </c>
      <c r="B8" s="5" t="inlineStr">
        <is>
          <t>float %</t>
        </is>
      </c>
      <c r="C8" s="5" t="inlineStr">
        <is>
          <t>Fraction of cohort reads assigned to cluster −1 (noise), expressed as %</t>
        </is>
      </c>
    </row>
    <row r="9" ht="18" customHeight="1">
      <c r="A9" s="41" t="inlineStr"/>
      <c r="B9" s="41" t="inlineStr"/>
      <c r="C9" s="41" t="inlineStr"/>
    </row>
    <row r="10" ht="18" customHeight="1">
      <c r="A10" s="39" t="inlineStr">
        <is>
          <t>GEOMETRY — both backends produce identical values</t>
        </is>
      </c>
      <c r="B10" s="7" t="n"/>
      <c r="C10" s="3" t="n"/>
    </row>
    <row r="11" ht="88" customHeight="1">
      <c r="A11" s="40" t="inlineStr">
        <is>
          <t>dbcv</t>
        </is>
      </c>
      <c r="B11" s="5" t="inlineStr">
        <is>
          <t>float [−1, 1]</t>
        </is>
      </c>
      <c r="C11" s="5" t="inlineStr">
        <is>
          <t>Density-Based Cluster Validity. Mean density separation score. Higher = better separated clusters. NEARLY DETERMINED BY n_clusters (ρ=−0.966). Not an independent quality score.</t>
        </is>
      </c>
    </row>
    <row r="12" ht="120" customHeight="1">
      <c r="A12" s="40" t="inlineStr">
        <is>
          <t>relative_validity</t>
        </is>
      </c>
      <c r="B12" s="5" t="inlineStr">
        <is>
          <t>float [0, 1]</t>
        </is>
      </c>
      <c r="C12" s="5" t="inlineStr">
        <is>
          <t>CPU-only. Direct model attribute: model.relative_validity_ after hdbscan.HDBSCAN().fit(X). Computed internally during condensed-tree traversal — a faster DBCV approximation reusing the already-built tree. cuML defines the attribute but never populates it (stays NaN after fit). Range 0.197-0.346 across 24 CPU cells (1.76x spread vs DBCV 302x). Sanity check, not a discriminator.</t>
        </is>
      </c>
    </row>
    <row r="13" ht="48" customHeight="1">
      <c r="A13" s="40" t="inlineStr">
        <is>
          <t>neg_cluster_frac</t>
        </is>
      </c>
      <c r="B13" s="5" t="inlineStr">
        <is>
          <t>float [0, 1]</t>
        </is>
      </c>
      <c r="C13" s="5" t="inlineStr">
        <is>
          <t>CPU-only. Fraction of clusters with negative DBCV score. Higher = more poorly-separated clusters.</t>
        </is>
      </c>
    </row>
    <row r="14" ht="74" customHeight="1">
      <c r="A14" s="40" t="inlineStr">
        <is>
          <t>neg_point_share</t>
        </is>
      </c>
      <c r="B14" s="5" t="inlineStr">
        <is>
          <t>float [0, 1]</t>
        </is>
      </c>
      <c r="C14" s="5" t="inlineStr">
        <is>
          <t>CPU-only. Fraction of assigned (non-noise) points that belong to a cluster with negative DBCV. More interpretable than raw DBCV. ρ=−0.977 with DBCV.</t>
        </is>
      </c>
    </row>
    <row r="15" ht="78" customHeight="1">
      <c r="A15" s="40" t="inlineStr">
        <is>
          <t>connect</t>
        </is>
      </c>
      <c r="B15" s="5" t="inlineStr">
        <is>
          <t>float [0, 1]</t>
        </is>
      </c>
      <c r="C15" s="5" t="inlineStr">
        <is>
          <t>Connectivity: fraction of cluster pairs where nearest-neighbour connections are pure (k=10). Near 1.0 for all cells — uninformative for ranking on this grid.</t>
        </is>
      </c>
    </row>
    <row r="16" ht="49" customHeight="1">
      <c r="A16" s="40" t="inlineStr">
        <is>
          <t>prob_mean</t>
        </is>
      </c>
      <c r="B16" s="5" t="inlineStr">
        <is>
          <t>float [0, 1]</t>
        </is>
      </c>
      <c r="C16" s="5" t="inlineStr">
        <is>
          <t>Mean cluster membership probability (HDBSCAN soft clustering). Higher = more confident assignments.</t>
        </is>
      </c>
    </row>
    <row r="17" ht="31" customHeight="1">
      <c r="A17" s="40" t="inlineStr">
        <is>
          <t>prob&gt;0.8</t>
        </is>
      </c>
      <c r="B17" s="5" t="inlineStr">
        <is>
          <t>float [0, 1]</t>
        </is>
      </c>
      <c r="C17" s="5" t="inlineStr">
        <is>
          <t>Fraction of assigned points with membership probability &gt; 0.8.</t>
        </is>
      </c>
    </row>
    <row r="18" ht="87" customHeight="1">
      <c r="A18" s="40" t="inlineStr">
        <is>
          <t>persist</t>
        </is>
      </c>
      <c r="B18" s="5" t="inlineStr">
        <is>
          <t>float [0, 1]</t>
        </is>
      </c>
      <c r="C18" s="5" t="inlineStr">
        <is>
          <t>Median cluster persistence. DEGENERATE: exactly 1.0 for all clusters in 22/24 cells (≥175 clusters). Do not use to rank cells. Real distribution only for 88/89-cluster cells.</t>
        </is>
      </c>
    </row>
    <row r="19" ht="59" customHeight="1">
      <c r="A19" s="40" t="inlineStr">
        <is>
          <t>persist_min</t>
        </is>
      </c>
      <c r="B19" s="5" t="inlineStr">
        <is>
          <t>float [0, 1]</t>
        </is>
      </c>
      <c r="C19" s="5" t="inlineStr">
        <is>
          <t>CPU-only. Minimum cluster persistence across all clusters. 0.003–0.010 for 88/89-cluster cells; 1.0000 for all others.</t>
        </is>
      </c>
    </row>
    <row r="20" ht="49" customHeight="1">
      <c r="A20" s="40" t="inlineStr">
        <is>
          <t>persist_max</t>
        </is>
      </c>
      <c r="B20" s="5" t="inlineStr">
        <is>
          <t>float [0, 1]</t>
        </is>
      </c>
      <c r="C20" s="5" t="inlineStr">
        <is>
          <t>CPU-only. Maximum cluster persistence. 0.937–0.925 for 88/89-cluster cells; 1.0000 for all others.</t>
        </is>
      </c>
    </row>
    <row r="21" ht="59" customHeight="1">
      <c r="A21" s="40" t="inlineStr">
        <is>
          <t>persist_frac_one</t>
        </is>
      </c>
      <c r="B21" s="5" t="inlineStr">
        <is>
          <t>float [0, 1]</t>
        </is>
      </c>
      <c r="C21" s="5" t="inlineStr">
        <is>
          <t>CPU-only. Fraction of clusters where persistence ≥ 0.999. 1.0 for degenerate cells, 0.0 for the two well-behaved cells.</t>
        </is>
      </c>
    </row>
    <row r="22" ht="18" customHeight="1">
      <c r="A22" s="41" t="inlineStr"/>
      <c r="B22" s="41" t="inlineStr"/>
      <c r="C22" s="41" t="inlineStr"/>
    </row>
    <row r="23" ht="18" customHeight="1">
      <c r="A23" s="39" t="inlineStr">
        <is>
          <t>SIGPROFILER — uv_only reference (GRCh38, v3.5)</t>
        </is>
      </c>
      <c r="B23" s="7" t="n"/>
      <c r="C23" s="3" t="n"/>
    </row>
    <row r="24" ht="120" customHeight="1">
      <c r="A24" s="40" t="inlineStr">
        <is>
          <t>cos_mean</t>
        </is>
      </c>
      <c r="B24" s="5" t="inlineStr">
        <is>
          <t>float [0, 1]</t>
        </is>
      </c>
      <c r="C24" s="5" t="inlineStr">
        <is>
          <t>Unweighted mean cosine similarity between each cluster's raw SBS96 profile and its SigProfilerAssignment reconstruction from uv_only signatures. Formula: mean(cosine[c] for c in clusters). Every cluster counts equally regardless of size. Range 0.130–0.250 on this grid. 1.0 = perfect reconstruction; 0.0 = orthogonal (completely wrong shape). Low values indicate cohort mutation spectra fall outside the uv_only reference space.</t>
        </is>
      </c>
    </row>
    <row r="25" ht="120" customHeight="1">
      <c r="A25" s="40" t="inlineStr">
        <is>
          <t>cos_wmean</t>
        </is>
      </c>
      <c r="B25" s="5" t="inlineStr">
        <is>
          <t>float [0, 1]</t>
        </is>
      </c>
      <c r="C25" s="5" t="inlineStr">
        <is>
          <t>Mutation-count-weighted cosine similarity. Formula: sum(cosine[c] * n_mutations[c]) / total_mutations. Large clusters (many reads) dominate. cos_wmean &lt; cos_mean means big clusters fit uv_only worse than small ones; cos_wmean &gt; cos_mean means big clusters fit better. On this grid both are 0.13–0.27 with wmean often slightly above mean, because the largest clusters tend to be highly peaked (one dominant channel) which is easier to match.</t>
        </is>
      </c>
    </row>
    <row r="26" ht="120" customHeight="1">
      <c r="A26" s="40" t="inlineStr">
        <is>
          <t>mut%&gt;0.8</t>
        </is>
      </c>
      <c r="B26" s="5" t="inlineStr">
        <is>
          <t>float % (0-100, ALREADY IN PERCENT)</t>
        </is>
      </c>
      <c r="C26" s="5" t="inlineStr">
        <is>
          <t>Percentage of total cohort mutations that live in clusters where cosine similarity &gt; 0.8. Formula: (sum(n_mutations[c] for c if cosine[c] &gt; 0.8) / total_mutations) * 100. The column name contains a literal % — values are in percent units, NOT a fraction. CAN EXCEED 1 (e.g., 2.6 means 2.6% of mutations). Range on this grid: 0.0–2.6%. Meaning: only 0-3% of reads are in clusters SigProfiler can reconstruct with cosine &gt; 0.8 from uv_only. The other 97-100% of reads are in clusters that fit uv_only poorly.</t>
        </is>
      </c>
    </row>
    <row r="27" ht="120" customHeight="1">
      <c r="A27" s="40" t="inlineStr">
        <is>
          <t>top_chan</t>
        </is>
      </c>
      <c r="B27" s="5" t="inlineStr">
        <is>
          <t>float fraction [0, 1] — NOT a percentage</t>
        </is>
      </c>
      <c r="C27" s="5" t="inlineStr">
        <is>
          <t>Median top-channel share, computed directly from raw SBS96 counts (NOT from SigProfiler reconstruction). Per cluster: max(SBS96_counts[c]) / sum(SBS96_counts[c]) = fraction of that cluster's mutations in its single most common trinucleotide context (e.g. 'A[T&gt;G]G'). The reported value is the MEDIAN of this fraction across all clusters. 0.57 = typical cluster has 57% of its mutations in one trinucleotide channel. 0.92 = typical cluster is almost entirely one context — extremely peaked. This is high on this grid (0.55-0.92) because HDBSCAN is grouping reads by trinucleotide context, which is a dominant axis in the VAE latent space.</t>
        </is>
      </c>
    </row>
    <row r="28" ht="120" customHeight="1">
      <c r="A28" s="40" t="inlineStr">
        <is>
          <t>tc&gt;0.5</t>
        </is>
      </c>
      <c r="B28" s="5" t="inlineStr">
        <is>
          <t>float fraction [0, 1] — NOT a percentage</t>
        </is>
      </c>
      <c r="C28" s="5" t="inlineStr">
        <is>
          <t>Fraction of clusters where top_channel_share &gt; 0.5 (more than half of reads in a single trinucleotide channel). Formula: count(clusters where max(SBS96[c])/sum(SBS96[c]) &gt; 0.5) / n_clusters. Also computed from raw SBS96 counts, not SigProfiler. 0.63 = 63% of clusters are single-channel-dominated. Complements top_chan median: tells you how many clusters are peaked, not just the typical one. On this grid: 0.61-0.88, meaning the majority of clusters in every cell are single-channel dominated.</t>
        </is>
      </c>
    </row>
    <row r="29" ht="120" customHeight="1">
      <c r="A29" s="40" t="inlineStr">
        <is>
          <t>l1%_mean</t>
        </is>
      </c>
      <c r="B29" s="5" t="inlineStr">
        <is>
          <t>float % (CAN EXCEED 100)</t>
        </is>
      </c>
      <c r="C29" s="5" t="inlineStr">
        <is>
          <t>Mean L1 residual expressed as % of cluster mutation count. Per cluster: sum(|observed[c,j] - reconstructed[c,j]| for j in 96 channels) / n_mutations[c] * 100. EXCEEDS 100% because uv_only overshoots some channels while undershooting others — the absolute errors from all channels that are wrong in either direction sum to more than the total count. 168–177% on this grid means the reconstruction has roughly 1.7x the total mutation count worth of absolute error — the wrong shape is being fitted in both positive and negative directions simultaneously.</t>
        </is>
      </c>
    </row>
    <row r="30" ht="120" customHeight="1">
      <c r="A30" s="40" t="inlineStr">
        <is>
          <t>l2%_mean</t>
        </is>
      </c>
      <c r="B30" s="5" t="inlineStr">
        <is>
          <t>float % (CAN EXCEED 100)</t>
        </is>
      </c>
      <c r="C30" s="5" t="inlineStr">
        <is>
          <t>Mean L2 (Euclidean) residual as % of cluster mutation count. sqrt(sum((observed[c,j]-reconstructed[c,j])^2)) / n_mutations[c] * 100. Same interpretation as L1% — can exceed 100% for the same reason. L2 penalises large per-channel errors more than L1.</t>
        </is>
      </c>
    </row>
    <row r="31" ht="18" customHeight="1">
      <c r="A31" s="41" t="inlineStr"/>
      <c r="B31" s="41" t="inlineStr"/>
      <c r="C31" s="41" t="inlineStr"/>
    </row>
    <row r="32" ht="18" customHeight="1">
      <c r="A32" s="39" t="inlineStr">
        <is>
          <t>OUTLIER SCORES (CPU-only)</t>
        </is>
      </c>
      <c r="B32" s="7" t="n"/>
      <c r="C32" s="3" t="n"/>
    </row>
    <row r="33" ht="70" customHeight="1">
      <c r="A33" s="40" t="inlineStr">
        <is>
          <t>outlier_p50</t>
        </is>
      </c>
      <c r="B33" s="5" t="inlineStr">
        <is>
          <t>float [0, 1]</t>
        </is>
      </c>
      <c r="C33" s="5" t="inlineStr">
        <is>
          <t>CPU-only. Median outlier score. Points deep inside clusters score near 0; points near cluster boundaries score higher; noise points score 1.</t>
        </is>
      </c>
    </row>
    <row r="34" ht="100" customHeight="1">
      <c r="A34" s="40" t="inlineStr">
        <is>
          <t>outlier_p99</t>
        </is>
      </c>
      <c r="B34" s="5" t="inlineStr">
        <is>
          <t>float [0, 1]</t>
        </is>
      </c>
      <c r="C34" s="5" t="inlineStr">
        <is>
          <t>CPU-only. 99th-percentile outlier score. &lt; 1.0 only for 88/89-cluster cells (0.979, 0.950). Exactly 1.0 for all other cells — in high-granularity solutions most points are treated as extreme outliers.</t>
        </is>
      </c>
    </row>
    <row r="35" ht="18" customHeight="1">
      <c r="A35" s="41" t="inlineStr"/>
      <c r="B35" s="41" t="inlineStr"/>
      <c r="C35" s="41" t="inlineStr"/>
    </row>
    <row r="36" ht="18" customHeight="1">
      <c r="A36" s="39" t="inlineStr">
        <is>
          <t>TIMING</t>
        </is>
      </c>
      <c r="B36" s="7" t="n"/>
      <c r="C36" s="3" t="n"/>
    </row>
    <row r="37" ht="72" customHeight="1">
      <c r="A37" s="40" t="inlineStr">
        <is>
          <t>fit_s</t>
        </is>
      </c>
      <c r="B37" s="5" t="inlineStr">
        <is>
          <t>float (s)</t>
        </is>
      </c>
      <c r="C37" s="5" t="inlineStr">
        <is>
          <t>Seconds to run HDBSCAN fit. NOT a valid backend benchmark — dominated by shared data-loading overhead. cuML and CPU give nearly identical times.</t>
        </is>
      </c>
    </row>
    <row r="38" ht="67" customHeight="1">
      <c r="A38" s="40" t="inlineStr">
        <is>
          <t>label_s</t>
        </is>
      </c>
      <c r="B38" s="5" t="inlineStr">
        <is>
          <t>float (s)</t>
        </is>
      </c>
      <c r="C38" s="5" t="inlineStr">
        <is>
          <t>Seconds to apply cluster labels to the full 157.5M-row cohort (RBC approximate nearest-centroid). CPU is 7.9% faster than cuML overall.</t>
        </is>
      </c>
    </row>
  </sheetData>
  <mergeCells count="5">
    <mergeCell ref="A10:C10"/>
    <mergeCell ref="A36:C36"/>
    <mergeCell ref="A23:C23"/>
    <mergeCell ref="A32:C32"/>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2026-08-17T12:48:36Z</dcterms:created>
  <dcterms:modified xsi:type="dcterms:W3CDTF">2026-08-17T12:48:36Z</dcterms:modified>
</cp:coreProperties>
</file>